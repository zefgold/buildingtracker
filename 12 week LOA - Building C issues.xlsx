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tables/table6.xml" ContentType="application/vnd.openxmlformats-officedocument.spreadsheetml.table+xml"/>
  <Override PartName="/xl/queryTables/queryTable1.xml" ContentType="application/vnd.openxmlformats-officedocument.spreadsheetml.queryTable+xml"/>
  <Override PartName="/xl/tables/table7.xml" ContentType="application/vnd.openxmlformats-officedocument.spreadsheetml.table+xml"/>
  <Override PartName="/xl/queryTables/queryTable2.xml" ContentType="application/vnd.openxmlformats-officedocument.spreadsheetml.queryTable+xml"/>
  <Override PartName="/xl/tables/table8.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updateLinks="always" hidePivotFieldList="1" defaultThemeVersion="166925"/>
  <mc:AlternateContent xmlns:mc="http://schemas.openxmlformats.org/markup-compatibility/2006">
    <mc:Choice Requires="x15">
      <x15ac:absPath xmlns:x15ac="http://schemas.microsoft.com/office/spreadsheetml/2010/11/ac" url="https://unitednations.sharepoint.com/sites/SHP-SOMBP-RPN-SharedSite/Shared Documents/General/12 Week LOA Production Meetings/C/"/>
    </mc:Choice>
  </mc:AlternateContent>
  <xr:revisionPtr revIDLastSave="26053" documentId="8_{DBD17087-F58C-4550-9F4F-B04D609056D9}" xr6:coauthVersionLast="47" xr6:coauthVersionMax="47" xr10:uidLastSave="{CA7F9E8F-76D9-4875-AB64-B43B35C93FE4}"/>
  <bookViews>
    <workbookView xWindow="-12660" yWindow="-16320" windowWidth="29040" windowHeight="15720" tabRatio="523" xr2:uid="{82370107-D653-4FBD-8FC1-F3D3B4FED8E7}"/>
  </bookViews>
  <sheets>
    <sheet name="Bldg C 12WLOA" sheetId="4" r:id="rId1"/>
    <sheet name="VARIATIONS" sheetId="12" r:id="rId2"/>
    <sheet name="Bldg C - UBS" sheetId="11" state="hidden" r:id="rId3"/>
    <sheet name="IT_Network_elevation" sheetId="10" r:id="rId4"/>
    <sheet name="CLOSED" sheetId="9" r:id="rId5"/>
    <sheet name="OWNER LIST" sheetId="6" r:id="rId6"/>
    <sheet name="DELEGATE" sheetId="8" r:id="rId7"/>
    <sheet name="DISCIPLINE" sheetId="7" r:id="rId8"/>
  </sheets>
  <externalReferences>
    <externalReference r:id="rId9"/>
  </externalReferences>
  <definedNames>
    <definedName name="_xlnm._FilterDatabase" localSheetId="2" hidden="1">'Bldg C 12WLOA'!$A$37:$X$37</definedName>
    <definedName name="_xlnm._FilterDatabase" localSheetId="0" hidden="1">'Bldg C 12WLOA'!$A$37:$X$37</definedName>
    <definedName name="ExternalData_1" localSheetId="5" hidden="1">'OWNER LIST'!$A$1:$H$220</definedName>
    <definedName name="ExternalData_2" localSheetId="7" hidden="1">DISCIPLINE!$A$1:$E$46</definedName>
    <definedName name="ExternalData_3" localSheetId="6" hidden="1">DELEGATE!$A$1:$B$8</definedName>
    <definedName name="_xlnm.Print_Area" localSheetId="2">'Bldg C 12WLOA'!$A$1:$K$160</definedName>
    <definedName name="_xlnm.Print_Area" localSheetId="0">'Bldg C 12WLOA'!$A$1:$K$160</definedName>
    <definedName name="_xlnm.Print_Titles" localSheetId="2">'Bldg C 12WLOA'!$37:$37</definedName>
    <definedName name="_xlnm.Print_Titles" localSheetId="0">'Bldg C 12WLOA'!$37:$37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I120" i="4" l="1" a="1"/>
  <c r="I120" i="4"/>
  <c r="I150" i="4" a="1"/>
  <c r="I150" i="4"/>
  <c r="I149" i="4" a="1"/>
  <c r="I149" i="4"/>
  <c r="R149" i="4"/>
  <c r="S149" i="4"/>
  <c r="T149" i="4"/>
  <c r="U149" i="4"/>
  <c r="V149" i="4"/>
  <c r="W149" i="4"/>
  <c r="X149" i="4"/>
  <c r="R150" i="4"/>
  <c r="S150" i="4"/>
  <c r="T150" i="4"/>
  <c r="U150" i="4"/>
  <c r="V150" i="4"/>
  <c r="W150" i="4"/>
  <c r="X150" i="4"/>
  <c r="R151" i="4"/>
  <c r="S151" i="4"/>
  <c r="T151" i="4"/>
  <c r="U151" i="4"/>
  <c r="V151" i="4"/>
  <c r="W151" i="4"/>
  <c r="X151" i="4"/>
  <c r="R152" i="4"/>
  <c r="S152" i="4"/>
  <c r="T152" i="4"/>
  <c r="U152" i="4"/>
  <c r="V152" i="4"/>
  <c r="W152" i="4"/>
  <c r="X152" i="4"/>
  <c r="I42" i="4" a="1"/>
  <c r="I42" i="4" s="1"/>
  <c r="R103" i="4"/>
  <c r="S103" i="4"/>
  <c r="T103" i="4"/>
  <c r="U103" i="4"/>
  <c r="V103" i="4"/>
  <c r="W103" i="4"/>
  <c r="X103" i="4"/>
  <c r="I97" i="4" a="1"/>
  <c r="I97" i="4"/>
  <c r="R94" i="4"/>
  <c r="S94" i="4"/>
  <c r="T94" i="4"/>
  <c r="U94" i="4"/>
  <c r="V94" i="4"/>
  <c r="W94" i="4"/>
  <c r="X94" i="4"/>
  <c r="I76" i="4" a="1"/>
  <c r="I76" i="4"/>
  <c r="I73" i="4" a="1"/>
  <c r="I73" i="4"/>
  <c r="I68" i="4" a="1"/>
  <c r="I68" i="4" s="1"/>
  <c r="R68" i="4"/>
  <c r="S68" i="4"/>
  <c r="T68" i="4"/>
  <c r="U68" i="4"/>
  <c r="V68" i="4"/>
  <c r="W68" i="4"/>
  <c r="X68" i="4"/>
  <c r="I63" i="4" a="1"/>
  <c r="I63" i="4"/>
  <c r="I47" i="4" a="1"/>
  <c r="I47" i="4"/>
  <c r="I80" i="4" a="1"/>
  <c r="I80" i="4"/>
  <c r="R80" i="4"/>
  <c r="S80" i="4"/>
  <c r="T80" i="4"/>
  <c r="U80" i="4"/>
  <c r="V80" i="4"/>
  <c r="W80" i="4"/>
  <c r="X80" i="4"/>
  <c r="I106" i="4" a="1"/>
  <c r="I106" i="4" s="1"/>
  <c r="R106" i="4"/>
  <c r="S106" i="4"/>
  <c r="T106" i="4"/>
  <c r="U106" i="4"/>
  <c r="V106" i="4"/>
  <c r="W106" i="4"/>
  <c r="X106" i="4"/>
  <c r="I101" i="4" a="1"/>
  <c r="I101" i="4"/>
  <c r="I60" i="4" a="1"/>
  <c r="I60" i="4"/>
  <c r="R60" i="4"/>
  <c r="S60" i="4"/>
  <c r="T60" i="4"/>
  <c r="U60" i="4"/>
  <c r="V60" i="4"/>
  <c r="W60" i="4"/>
  <c r="X60" i="4"/>
  <c r="I79" i="4" a="1"/>
  <c r="I79" i="4"/>
  <c r="R79" i="4"/>
  <c r="S79" i="4"/>
  <c r="T79" i="4"/>
  <c r="U79" i="4"/>
  <c r="V79" i="4"/>
  <c r="W79" i="4"/>
  <c r="X79" i="4"/>
  <c r="I64" i="4" a="1"/>
  <c r="I64" i="4"/>
  <c r="R64" i="4"/>
  <c r="S64" i="4"/>
  <c r="T64" i="4"/>
  <c r="U64" i="4"/>
  <c r="V64" i="4"/>
  <c r="W64" i="4"/>
  <c r="X64" i="4"/>
  <c r="I62" i="4" a="1"/>
  <c r="I62" i="4"/>
  <c r="I45" i="4" a="1"/>
  <c r="I45" i="4"/>
  <c r="I46" i="4" a="1"/>
  <c r="I46" i="4"/>
  <c r="R46" i="4"/>
  <c r="S46" i="4"/>
  <c r="T46" i="4"/>
  <c r="U46" i="4"/>
  <c r="V46" i="4"/>
  <c r="W46" i="4"/>
  <c r="X46" i="4"/>
  <c r="I51" i="4" a="1"/>
  <c r="I51" i="4"/>
  <c r="R51" i="4"/>
  <c r="S51" i="4"/>
  <c r="T51" i="4"/>
  <c r="U51" i="4"/>
  <c r="V51" i="4"/>
  <c r="W51" i="4"/>
  <c r="X51" i="4"/>
  <c r="I89" i="4" a="1"/>
  <c r="I89" i="4"/>
  <c r="R89" i="4"/>
  <c r="S89" i="4"/>
  <c r="T89" i="4"/>
  <c r="U89" i="4"/>
  <c r="V89" i="4"/>
  <c r="W89" i="4"/>
  <c r="X89" i="4"/>
  <c r="I119" i="4" a="1"/>
  <c r="I119" i="4"/>
  <c r="R119" i="4"/>
  <c r="S119" i="4"/>
  <c r="T119" i="4"/>
  <c r="U119" i="4"/>
  <c r="V119" i="4"/>
  <c r="W119" i="4"/>
  <c r="X119" i="4"/>
  <c r="I86" i="4" a="1"/>
  <c r="I86" i="4"/>
  <c r="R86" i="4"/>
  <c r="S86" i="4"/>
  <c r="T86" i="4"/>
  <c r="U86" i="4"/>
  <c r="V86" i="4"/>
  <c r="W86" i="4"/>
  <c r="X86" i="4"/>
  <c r="I99" i="4" a="1"/>
  <c r="I99" i="4"/>
  <c r="R99" i="4"/>
  <c r="S99" i="4"/>
  <c r="T99" i="4"/>
  <c r="U99" i="4"/>
  <c r="V99" i="4"/>
  <c r="W99" i="4"/>
  <c r="X99" i="4"/>
  <c r="I100" i="4" a="1"/>
  <c r="I100" i="4"/>
  <c r="R101" i="4"/>
  <c r="S101" i="4"/>
  <c r="T101" i="4"/>
  <c r="U101" i="4"/>
  <c r="V101" i="4"/>
  <c r="W101" i="4"/>
  <c r="X101" i="4"/>
  <c r="R62" i="4"/>
  <c r="S62" i="4"/>
  <c r="T62" i="4"/>
  <c r="U62" i="4"/>
  <c r="V62" i="4"/>
  <c r="W62" i="4"/>
  <c r="X62" i="4"/>
  <c r="I104" i="4" a="1"/>
  <c r="I104" i="4"/>
  <c r="I105" i="4" a="1"/>
  <c r="I105" i="4"/>
  <c r="I87" i="4" a="1"/>
  <c r="I87" i="4"/>
  <c r="R87" i="4"/>
  <c r="S87" i="4"/>
  <c r="T87" i="4"/>
  <c r="U87" i="4"/>
  <c r="V87" i="4"/>
  <c r="W87" i="4"/>
  <c r="X87" i="4"/>
  <c r="I77" i="4" a="1"/>
  <c r="I77" i="4"/>
  <c r="I78" i="4" a="1"/>
  <c r="I78" i="4"/>
  <c r="R78" i="4"/>
  <c r="S78" i="4"/>
  <c r="T78" i="4"/>
  <c r="U78" i="4"/>
  <c r="V78" i="4"/>
  <c r="W78" i="4"/>
  <c r="X78" i="4"/>
  <c r="I147" i="4" a="1"/>
  <c r="I147" i="4"/>
  <c r="R128" i="4"/>
  <c r="S128" i="4"/>
  <c r="T128" i="4"/>
  <c r="U128" i="4"/>
  <c r="V128" i="4"/>
  <c r="W128" i="4"/>
  <c r="X128" i="4"/>
  <c r="R147" i="4"/>
  <c r="S147" i="4"/>
  <c r="T147" i="4"/>
  <c r="U147" i="4"/>
  <c r="V147" i="4"/>
  <c r="W147" i="4"/>
  <c r="X147" i="4"/>
  <c r="R105" i="4"/>
  <c r="S105" i="4"/>
  <c r="T105" i="4"/>
  <c r="U105" i="4"/>
  <c r="V105" i="4"/>
  <c r="W105" i="4"/>
  <c r="X105" i="4"/>
  <c r="I83" i="4" a="1"/>
  <c r="I83" i="4"/>
  <c r="R47" i="4"/>
  <c r="S47" i="4"/>
  <c r="T47" i="4"/>
  <c r="U47" i="4"/>
  <c r="V47" i="4"/>
  <c r="W47" i="4"/>
  <c r="X47" i="4"/>
  <c r="R77" i="4"/>
  <c r="S77" i="4"/>
  <c r="T77" i="4"/>
  <c r="U77" i="4"/>
  <c r="V77" i="4"/>
  <c r="W77" i="4"/>
  <c r="X77" i="4"/>
  <c r="R63" i="4"/>
  <c r="S63" i="4"/>
  <c r="T63" i="4"/>
  <c r="U63" i="4"/>
  <c r="V63" i="4"/>
  <c r="W63" i="4"/>
  <c r="X63" i="4"/>
  <c r="I49" i="4" a="1"/>
  <c r="I49" i="4"/>
  <c r="R49" i="4"/>
  <c r="S49" i="4"/>
  <c r="T49" i="4"/>
  <c r="U49" i="4"/>
  <c r="V49" i="4"/>
  <c r="W49" i="4"/>
  <c r="X49" i="4"/>
  <c r="I113" i="4" a="1"/>
  <c r="I113" i="4"/>
  <c r="R113" i="4"/>
  <c r="S113" i="4"/>
  <c r="T113" i="4"/>
  <c r="U113" i="4"/>
  <c r="V113" i="4"/>
  <c r="W113" i="4"/>
  <c r="X113" i="4"/>
  <c r="I142" i="4" a="1"/>
  <c r="I142" i="4"/>
  <c r="R142" i="4"/>
  <c r="S142" i="4"/>
  <c r="T142" i="4"/>
  <c r="U142" i="4"/>
  <c r="V142" i="4"/>
  <c r="W142" i="4"/>
  <c r="X142" i="4"/>
  <c r="X39" i="4"/>
  <c r="R160" i="4"/>
  <c r="S160" i="4" s="1"/>
  <c r="T160" i="4"/>
  <c r="U160" i="4"/>
  <c r="V160" i="4"/>
  <c r="W160" i="4"/>
  <c r="X160" i="4"/>
  <c r="X205" i="9" s="1"/>
  <c r="R159" i="4"/>
  <c r="S159" i="4" s="1"/>
  <c r="T159" i="4"/>
  <c r="U159" i="4"/>
  <c r="V159" i="4"/>
  <c r="W159" i="4"/>
  <c r="X159" i="4"/>
  <c r="X38" i="4"/>
  <c r="I118" i="4" a="1"/>
  <c r="I118" i="4" s="1"/>
  <c r="I226" i="9" a="1"/>
  <c r="I226" i="9" s="1"/>
  <c r="R226" i="9"/>
  <c r="S226" i="9"/>
  <c r="T226" i="9"/>
  <c r="U226" i="9"/>
  <c r="V226" i="9"/>
  <c r="W226" i="9"/>
  <c r="X226" i="9"/>
  <c r="R224" i="9"/>
  <c r="S224" i="9"/>
  <c r="T224" i="9"/>
  <c r="U224" i="9"/>
  <c r="V224" i="9"/>
  <c r="W224" i="9"/>
  <c r="X224" i="9"/>
  <c r="R225" i="9"/>
  <c r="S225" i="9"/>
  <c r="T225" i="9"/>
  <c r="U225" i="9"/>
  <c r="V225" i="9"/>
  <c r="W225" i="9"/>
  <c r="X225" i="9"/>
  <c r="R222" i="9"/>
  <c r="S222" i="9"/>
  <c r="T222" i="9"/>
  <c r="U222" i="9"/>
  <c r="V222" i="9"/>
  <c r="W222" i="9"/>
  <c r="X222" i="9"/>
  <c r="R223" i="9"/>
  <c r="S223" i="9"/>
  <c r="T223" i="9"/>
  <c r="U223" i="9"/>
  <c r="V223" i="9"/>
  <c r="W223" i="9"/>
  <c r="X223" i="9"/>
  <c r="X221" i="9"/>
  <c r="R219" i="9"/>
  <c r="S219" i="9"/>
  <c r="T219" i="9"/>
  <c r="U219" i="9"/>
  <c r="V219" i="9"/>
  <c r="W219" i="9"/>
  <c r="X219" i="9"/>
  <c r="R218" i="9"/>
  <c r="S218" i="9"/>
  <c r="T218" i="9"/>
  <c r="U218" i="9"/>
  <c r="V218" i="9"/>
  <c r="W218" i="9"/>
  <c r="X218" i="9"/>
  <c r="I217" i="9" a="1"/>
  <c r="I217" i="9" s="1"/>
  <c r="R217" i="9"/>
  <c r="S217" i="9"/>
  <c r="T217" i="9"/>
  <c r="U217" i="9"/>
  <c r="V217" i="9"/>
  <c r="W217" i="9"/>
  <c r="X217" i="9"/>
  <c r="R143" i="4"/>
  <c r="S143" i="4" s="1"/>
  <c r="T143" i="4"/>
  <c r="U143" i="4"/>
  <c r="V143" i="4"/>
  <c r="W143" i="4"/>
  <c r="X143" i="4"/>
  <c r="R45" i="4"/>
  <c r="S45" i="4" s="1"/>
  <c r="T45" i="4"/>
  <c r="U45" i="4"/>
  <c r="V45" i="4"/>
  <c r="W45" i="4"/>
  <c r="X45" i="4"/>
  <c r="R104" i="4"/>
  <c r="S104" i="4"/>
  <c r="T104" i="4"/>
  <c r="U104" i="4"/>
  <c r="V104" i="4"/>
  <c r="W104" i="4"/>
  <c r="X104" i="4"/>
  <c r="I67" i="4" a="1"/>
  <c r="I67" i="4" s="1"/>
  <c r="R67" i="4"/>
  <c r="S67" i="4" s="1"/>
  <c r="T67" i="4"/>
  <c r="U67" i="4"/>
  <c r="V67" i="4"/>
  <c r="W67" i="4"/>
  <c r="X67" i="4"/>
  <c r="I52" i="4" a="1"/>
  <c r="I52" i="4" s="1"/>
  <c r="R52" i="4"/>
  <c r="S52" i="4" s="1"/>
  <c r="T52" i="4"/>
  <c r="U52" i="4"/>
  <c r="V52" i="4"/>
  <c r="W52" i="4"/>
  <c r="X52" i="4"/>
  <c r="I50" i="4" a="1"/>
  <c r="I50" i="4" s="1"/>
  <c r="I39" i="4" a="1"/>
  <c r="I39" i="4" s="1"/>
  <c r="X40" i="4"/>
  <c r="X41" i="4"/>
  <c r="X42" i="4"/>
  <c r="X43" i="4"/>
  <c r="X44" i="4"/>
  <c r="X48" i="4"/>
  <c r="X50" i="4"/>
  <c r="X53" i="4"/>
  <c r="X54" i="4"/>
  <c r="X55" i="4"/>
  <c r="X56" i="4"/>
  <c r="X57" i="4"/>
  <c r="X58" i="4"/>
  <c r="X148" i="4"/>
  <c r="X59" i="4"/>
  <c r="X70" i="4"/>
  <c r="X61" i="4"/>
  <c r="X65" i="4"/>
  <c r="X66" i="4"/>
  <c r="X69" i="4"/>
  <c r="X71" i="4"/>
  <c r="X73" i="4"/>
  <c r="X74" i="4"/>
  <c r="X72" i="4"/>
  <c r="X75" i="4"/>
  <c r="X76" i="4"/>
  <c r="X81" i="4"/>
  <c r="X82" i="4"/>
  <c r="X83" i="4"/>
  <c r="X84" i="4"/>
  <c r="X85" i="4"/>
  <c r="X90" i="4"/>
  <c r="X91" i="4"/>
  <c r="X92" i="4"/>
  <c r="X93" i="4"/>
  <c r="X88" i="4"/>
  <c r="X95" i="4"/>
  <c r="X96" i="4"/>
  <c r="X97" i="4"/>
  <c r="X98" i="4"/>
  <c r="X100" i="4"/>
  <c r="X102" i="4"/>
  <c r="X107" i="4"/>
  <c r="X108" i="4"/>
  <c r="X109" i="4"/>
  <c r="X110" i="4"/>
  <c r="X111" i="4"/>
  <c r="X112" i="4"/>
  <c r="X114" i="4"/>
  <c r="X115" i="4"/>
  <c r="X116" i="4"/>
  <c r="X117" i="4"/>
  <c r="X118" i="4"/>
  <c r="X122" i="4"/>
  <c r="X123" i="4"/>
  <c r="X124" i="4"/>
  <c r="X125" i="4"/>
  <c r="X126" i="4"/>
  <c r="X127" i="4"/>
  <c r="X129" i="4"/>
  <c r="X130" i="4"/>
  <c r="X131" i="4"/>
  <c r="X132" i="4"/>
  <c r="X133" i="4"/>
  <c r="X134" i="4"/>
  <c r="X135" i="4"/>
  <c r="X136" i="4"/>
  <c r="X137" i="4"/>
  <c r="X138" i="4"/>
  <c r="X139" i="4"/>
  <c r="X140" i="4"/>
  <c r="X141" i="4"/>
  <c r="X144" i="4"/>
  <c r="X145" i="4"/>
  <c r="X146" i="4"/>
  <c r="X153" i="4"/>
  <c r="X154" i="4"/>
  <c r="X155" i="4"/>
  <c r="X156" i="4"/>
  <c r="X157" i="4"/>
  <c r="X158" i="4"/>
  <c r="I116" i="4" a="1"/>
  <c r="I116" i="4" s="1"/>
  <c r="I115" i="4" a="1"/>
  <c r="I115" i="4" s="1"/>
  <c r="R116" i="4"/>
  <c r="S116" i="4" s="1"/>
  <c r="T116" i="4"/>
  <c r="U116" i="4"/>
  <c r="V116" i="4"/>
  <c r="W116" i="4"/>
  <c r="R115" i="4"/>
  <c r="S115" i="4" s="1"/>
  <c r="T115" i="4"/>
  <c r="U115" i="4"/>
  <c r="V115" i="4"/>
  <c r="W115" i="4"/>
  <c r="I71" i="4" a="1"/>
  <c r="I71" i="4" s="1"/>
  <c r="R216" i="9"/>
  <c r="S216" i="9"/>
  <c r="T216" i="9"/>
  <c r="U216" i="9"/>
  <c r="V216" i="9"/>
  <c r="W216" i="9"/>
  <c r="X216" i="9"/>
  <c r="R215" i="9"/>
  <c r="S215" i="9"/>
  <c r="T215" i="9"/>
  <c r="U215" i="9"/>
  <c r="V215" i="9"/>
  <c r="W215" i="9"/>
  <c r="X215" i="9"/>
  <c r="R214" i="9"/>
  <c r="S214" i="9"/>
  <c r="T214" i="9"/>
  <c r="U214" i="9"/>
  <c r="V214" i="9"/>
  <c r="W214" i="9"/>
  <c r="X214" i="9"/>
  <c r="R213" i="9"/>
  <c r="S213" i="9"/>
  <c r="T213" i="9"/>
  <c r="U213" i="9"/>
  <c r="V213" i="9"/>
  <c r="W213" i="9"/>
  <c r="X213" i="9"/>
  <c r="R212" i="9"/>
  <c r="S212" i="9"/>
  <c r="T212" i="9"/>
  <c r="U212" i="9"/>
  <c r="V212" i="9"/>
  <c r="W212" i="9"/>
  <c r="X212" i="9"/>
  <c r="R211" i="9"/>
  <c r="S211" i="9"/>
  <c r="T211" i="9"/>
  <c r="U211" i="9"/>
  <c r="V211" i="9"/>
  <c r="W211" i="9"/>
  <c r="X211" i="9"/>
  <c r="B205" i="9"/>
  <c r="E205" i="9"/>
  <c r="G205" i="9"/>
  <c r="T205" i="9"/>
  <c r="U205" i="9"/>
  <c r="V205" i="9"/>
  <c r="W205" i="9"/>
  <c r="B206" i="9"/>
  <c r="E206" i="9"/>
  <c r="G206" i="9"/>
  <c r="T206" i="9"/>
  <c r="U206" i="9"/>
  <c r="V206" i="9"/>
  <c r="W206" i="9"/>
  <c r="B204" i="9"/>
  <c r="E204" i="9"/>
  <c r="G204" i="9"/>
  <c r="T204" i="9"/>
  <c r="U204" i="9"/>
  <c r="V204" i="9"/>
  <c r="W204" i="9"/>
  <c r="X204" i="9"/>
  <c r="R203" i="9"/>
  <c r="S203" i="9"/>
  <c r="T203" i="9"/>
  <c r="U203" i="9"/>
  <c r="V203" i="9"/>
  <c r="W203" i="9"/>
  <c r="X203" i="9"/>
  <c r="R202" i="9"/>
  <c r="S202" i="9"/>
  <c r="T202" i="9"/>
  <c r="U202" i="9"/>
  <c r="V202" i="9"/>
  <c r="W202" i="9"/>
  <c r="X202" i="9"/>
  <c r="R201" i="9"/>
  <c r="S201" i="9"/>
  <c r="T201" i="9"/>
  <c r="U201" i="9"/>
  <c r="V201" i="9"/>
  <c r="W201" i="9"/>
  <c r="X201" i="9"/>
  <c r="R200" i="9"/>
  <c r="S200" i="9"/>
  <c r="T200" i="9"/>
  <c r="U200" i="9"/>
  <c r="V200" i="9"/>
  <c r="W200" i="9"/>
  <c r="X200" i="9"/>
  <c r="R199" i="9"/>
  <c r="S199" i="9"/>
  <c r="T199" i="9"/>
  <c r="U199" i="9"/>
  <c r="V199" i="9"/>
  <c r="W199" i="9"/>
  <c r="X199" i="9"/>
  <c r="R197" i="9"/>
  <c r="S197" i="9"/>
  <c r="T197" i="9"/>
  <c r="U197" i="9"/>
  <c r="V197" i="9"/>
  <c r="W197" i="9"/>
  <c r="X197" i="9"/>
  <c r="R198" i="9"/>
  <c r="S198" i="9"/>
  <c r="T198" i="9"/>
  <c r="U198" i="9"/>
  <c r="V198" i="9"/>
  <c r="W198" i="9"/>
  <c r="X198" i="9"/>
  <c r="R195" i="9"/>
  <c r="S195" i="9"/>
  <c r="T195" i="9"/>
  <c r="U195" i="9"/>
  <c r="V195" i="9"/>
  <c r="W195" i="9"/>
  <c r="X195" i="9"/>
  <c r="R196" i="9"/>
  <c r="S196" i="9"/>
  <c r="T196" i="9"/>
  <c r="U196" i="9"/>
  <c r="V196" i="9"/>
  <c r="W196" i="9"/>
  <c r="X196" i="9"/>
  <c r="R194" i="9"/>
  <c r="S194" i="9"/>
  <c r="T194" i="9"/>
  <c r="U194" i="9"/>
  <c r="V194" i="9"/>
  <c r="W194" i="9"/>
  <c r="X194" i="9"/>
  <c r="R193" i="9"/>
  <c r="S193" i="9"/>
  <c r="T193" i="9"/>
  <c r="U193" i="9"/>
  <c r="V193" i="9"/>
  <c r="W193" i="9"/>
  <c r="X193" i="9"/>
  <c r="R191" i="9"/>
  <c r="S191" i="9"/>
  <c r="T191" i="9"/>
  <c r="U191" i="9"/>
  <c r="V191" i="9"/>
  <c r="W191" i="9"/>
  <c r="X191" i="9"/>
  <c r="R192" i="9"/>
  <c r="S192" i="9"/>
  <c r="T192" i="9"/>
  <c r="U192" i="9"/>
  <c r="V192" i="9"/>
  <c r="W192" i="9"/>
  <c r="X192" i="9"/>
  <c r="R190" i="9"/>
  <c r="S190" i="9"/>
  <c r="T190" i="9"/>
  <c r="U190" i="9"/>
  <c r="V190" i="9"/>
  <c r="W190" i="9"/>
  <c r="X190" i="9"/>
  <c r="R188" i="9"/>
  <c r="S188" i="9"/>
  <c r="T188" i="9"/>
  <c r="U188" i="9"/>
  <c r="V188" i="9"/>
  <c r="W188" i="9"/>
  <c r="X188" i="9"/>
  <c r="R189" i="9"/>
  <c r="S189" i="9"/>
  <c r="T189" i="9"/>
  <c r="U189" i="9"/>
  <c r="V189" i="9"/>
  <c r="W189" i="9"/>
  <c r="X189" i="9"/>
  <c r="R187" i="9"/>
  <c r="T187" i="9"/>
  <c r="U187" i="9"/>
  <c r="V187" i="9"/>
  <c r="W187" i="9"/>
  <c r="X187" i="9"/>
  <c r="R50" i="4"/>
  <c r="S50" i="4" s="1"/>
  <c r="T50" i="4"/>
  <c r="U50" i="4"/>
  <c r="V50" i="4"/>
  <c r="W50" i="4"/>
  <c r="R185" i="9"/>
  <c r="T185" i="9"/>
  <c r="U185" i="9"/>
  <c r="V185" i="9"/>
  <c r="W185" i="9"/>
  <c r="X185" i="9"/>
  <c r="I102" i="4" a="1"/>
  <c r="I102" i="4" s="1"/>
  <c r="R102" i="4"/>
  <c r="S102" i="4" s="1"/>
  <c r="T102" i="4"/>
  <c r="U102" i="4"/>
  <c r="V102" i="4"/>
  <c r="W102" i="4"/>
  <c r="I58" i="4" a="1"/>
  <c r="I58" i="4" s="1"/>
  <c r="R58" i="4"/>
  <c r="S58" i="4" s="1"/>
  <c r="T58" i="4"/>
  <c r="U58" i="4"/>
  <c r="V58" i="4"/>
  <c r="W58" i="4"/>
  <c r="R125" i="4"/>
  <c r="S125" i="4" s="1"/>
  <c r="T125" i="4"/>
  <c r="U125" i="4"/>
  <c r="V125" i="4"/>
  <c r="W125" i="4"/>
  <c r="R124" i="4"/>
  <c r="S124" i="4" s="1"/>
  <c r="T124" i="4"/>
  <c r="U124" i="4"/>
  <c r="V124" i="4"/>
  <c r="W124" i="4"/>
  <c r="C22" i="4"/>
  <c r="C23" i="4"/>
  <c r="B22" i="4"/>
  <c r="B23" i="4"/>
  <c r="I141" i="4" a="1"/>
  <c r="I141" i="4" s="1"/>
  <c r="R100" i="4"/>
  <c r="S100" i="4" s="1"/>
  <c r="T100" i="4"/>
  <c r="U100" i="4"/>
  <c r="V100" i="4"/>
  <c r="W100" i="4"/>
  <c r="I111" i="4" a="1"/>
  <c r="I111" i="4"/>
  <c r="R111" i="4"/>
  <c r="S111" i="4" s="1"/>
  <c r="T111" i="4"/>
  <c r="U111" i="4"/>
  <c r="V111" i="4"/>
  <c r="W111" i="4"/>
  <c r="R39" i="4"/>
  <c r="S39" i="4" s="1"/>
  <c r="T39" i="4"/>
  <c r="U39" i="4"/>
  <c r="V39" i="4"/>
  <c r="W39" i="4"/>
  <c r="E4" i="4"/>
  <c r="E10" i="4"/>
  <c r="I82" i="4" a="1"/>
  <c r="I82" i="4" s="1"/>
  <c r="R82" i="4"/>
  <c r="S82" i="4" s="1"/>
  <c r="T82" i="4"/>
  <c r="U82" i="4"/>
  <c r="V82" i="4"/>
  <c r="W82" i="4"/>
  <c r="R76" i="4"/>
  <c r="S76" i="4" s="1"/>
  <c r="T76" i="4"/>
  <c r="U76" i="4"/>
  <c r="V76" i="4"/>
  <c r="W76" i="4"/>
  <c r="I112" i="4" a="1"/>
  <c r="I112" i="4" s="1"/>
  <c r="R112" i="4"/>
  <c r="S112" i="4" s="1"/>
  <c r="T112" i="4"/>
  <c r="U112" i="4"/>
  <c r="V112" i="4"/>
  <c r="W112" i="4"/>
  <c r="I114" i="4" a="1"/>
  <c r="I114" i="4" s="1"/>
  <c r="I61" i="4" a="1"/>
  <c r="I61" i="4" s="1"/>
  <c r="R114" i="4"/>
  <c r="S114" i="4" s="1"/>
  <c r="T114" i="4"/>
  <c r="U114" i="4"/>
  <c r="V114" i="4"/>
  <c r="W114" i="4"/>
  <c r="I109" i="4" a="1"/>
  <c r="I109" i="4" s="1"/>
  <c r="R109" i="4"/>
  <c r="S109" i="4" s="1"/>
  <c r="T109" i="4"/>
  <c r="U109" i="4"/>
  <c r="V109" i="4"/>
  <c r="W109" i="4"/>
  <c r="I57" i="4" a="1"/>
  <c r="I57" i="4" s="1"/>
  <c r="R57" i="4"/>
  <c r="S57" i="4" s="1"/>
  <c r="T57" i="4"/>
  <c r="U57" i="4"/>
  <c r="V57" i="4"/>
  <c r="W57" i="4"/>
  <c r="I56" i="4" a="1"/>
  <c r="I56" i="4" s="1"/>
  <c r="R56" i="4"/>
  <c r="S56" i="4" s="1"/>
  <c r="T56" i="4"/>
  <c r="U56" i="4"/>
  <c r="V56" i="4"/>
  <c r="W56" i="4"/>
  <c r="I98" i="4" a="1"/>
  <c r="I98" i="4" s="1"/>
  <c r="R98" i="4"/>
  <c r="S98" i="4" s="1"/>
  <c r="T98" i="4"/>
  <c r="U98" i="4"/>
  <c r="V98" i="4"/>
  <c r="W98" i="4"/>
  <c r="I85" i="4" a="1"/>
  <c r="I85" i="4" s="1"/>
  <c r="R85" i="4"/>
  <c r="S85" i="4" s="1"/>
  <c r="T85" i="4"/>
  <c r="U85" i="4"/>
  <c r="V85" i="4"/>
  <c r="W85" i="4"/>
  <c r="B20" i="4"/>
  <c r="C20" i="4"/>
  <c r="I130" i="4" a="1"/>
  <c r="I130" i="4" s="1"/>
  <c r="R130" i="4"/>
  <c r="S130" i="4" s="1"/>
  <c r="T130" i="4"/>
  <c r="U130" i="4"/>
  <c r="V130" i="4"/>
  <c r="W130" i="4"/>
  <c r="R97" i="4"/>
  <c r="S97" i="4" s="1"/>
  <c r="T97" i="4"/>
  <c r="U97" i="4"/>
  <c r="V97" i="4"/>
  <c r="W97" i="4"/>
  <c r="I84" i="4" a="1"/>
  <c r="I84" i="4" s="1"/>
  <c r="R84" i="4"/>
  <c r="S84" i="4" s="1"/>
  <c r="T84" i="4"/>
  <c r="U84" i="4"/>
  <c r="V84" i="4"/>
  <c r="W84" i="4"/>
  <c r="B16" i="4"/>
  <c r="R83" i="4"/>
  <c r="S83" i="4" s="1"/>
  <c r="T83" i="4"/>
  <c r="U83" i="4"/>
  <c r="V83" i="4"/>
  <c r="W83" i="4"/>
  <c r="R61" i="4"/>
  <c r="S61" i="4" s="1"/>
  <c r="T61" i="4"/>
  <c r="U61" i="4"/>
  <c r="V61" i="4"/>
  <c r="W61" i="4"/>
  <c r="I107" i="4" a="1"/>
  <c r="I107" i="4" s="1"/>
  <c r="R107" i="4"/>
  <c r="S107" i="4" s="1"/>
  <c r="T107" i="4"/>
  <c r="U107" i="4"/>
  <c r="V107" i="4"/>
  <c r="W107" i="4"/>
  <c r="I65" i="4" a="1"/>
  <c r="I65" i="4" s="1"/>
  <c r="I148" i="4" a="1"/>
  <c r="I148" i="4" s="1"/>
  <c r="R148" i="4"/>
  <c r="S148" i="4" s="1"/>
  <c r="T148" i="4"/>
  <c r="U148" i="4"/>
  <c r="V148" i="4"/>
  <c r="W148" i="4"/>
  <c r="R69" i="4"/>
  <c r="S69" i="4" s="1"/>
  <c r="T69" i="4"/>
  <c r="U69" i="4"/>
  <c r="V69" i="4"/>
  <c r="W69" i="4"/>
  <c r="I139" i="4" a="1"/>
  <c r="I139" i="4" s="1"/>
  <c r="I135" i="4" a="1"/>
  <c r="I135" i="4" s="1"/>
  <c r="I136" i="4" a="1"/>
  <c r="I136" i="4" s="1"/>
  <c r="I137" i="4" a="1"/>
  <c r="I137" i="4" s="1"/>
  <c r="I138" i="4" a="1"/>
  <c r="I138" i="4" s="1"/>
  <c r="I131" i="4" a="1"/>
  <c r="I131" i="4" s="1"/>
  <c r="I132" i="4" a="1"/>
  <c r="I132" i="4" s="1"/>
  <c r="I133" i="4" a="1"/>
  <c r="I133" i="4" s="1"/>
  <c r="I134" i="4" a="1"/>
  <c r="I134" i="4" s="1"/>
  <c r="R133" i="4"/>
  <c r="S133" i="4" s="1"/>
  <c r="R134" i="4"/>
  <c r="S134" i="4" s="1"/>
  <c r="R135" i="4"/>
  <c r="S135" i="4" s="1"/>
  <c r="R136" i="4"/>
  <c r="S136" i="4" s="1"/>
  <c r="T133" i="4"/>
  <c r="T134" i="4"/>
  <c r="T135" i="4"/>
  <c r="T136" i="4"/>
  <c r="U133" i="4"/>
  <c r="U134" i="4"/>
  <c r="U135" i="4"/>
  <c r="U136" i="4"/>
  <c r="V133" i="4"/>
  <c r="V134" i="4"/>
  <c r="V135" i="4"/>
  <c r="V136" i="4"/>
  <c r="W133" i="4"/>
  <c r="W134" i="4"/>
  <c r="W135" i="4"/>
  <c r="W136" i="4"/>
  <c r="R132" i="4"/>
  <c r="S132" i="4" s="1"/>
  <c r="R137" i="4"/>
  <c r="S137" i="4" s="1"/>
  <c r="T132" i="4"/>
  <c r="T137" i="4"/>
  <c r="U132" i="4"/>
  <c r="U137" i="4"/>
  <c r="V132" i="4"/>
  <c r="V137" i="4"/>
  <c r="W132" i="4"/>
  <c r="W137" i="4"/>
  <c r="R138" i="4"/>
  <c r="S138" i="4" s="1"/>
  <c r="R139" i="4"/>
  <c r="S139" i="4" s="1"/>
  <c r="T138" i="4"/>
  <c r="T139" i="4"/>
  <c r="U138" i="4"/>
  <c r="U139" i="4"/>
  <c r="V138" i="4"/>
  <c r="V139" i="4"/>
  <c r="W138" i="4"/>
  <c r="W139" i="4"/>
  <c r="R140" i="4"/>
  <c r="S140" i="4" s="1"/>
  <c r="R141" i="4"/>
  <c r="S141" i="4"/>
  <c r="T140" i="4"/>
  <c r="T141" i="4"/>
  <c r="U140" i="4"/>
  <c r="U141" i="4"/>
  <c r="V140" i="4"/>
  <c r="V141" i="4"/>
  <c r="W140" i="4"/>
  <c r="W141" i="4"/>
  <c r="R144" i="4"/>
  <c r="S144" i="4" s="1"/>
  <c r="T144" i="4"/>
  <c r="U144" i="4"/>
  <c r="V144" i="4"/>
  <c r="W144" i="4"/>
  <c r="I96" i="4" a="1"/>
  <c r="I96" i="4" s="1"/>
  <c r="R96" i="4"/>
  <c r="S96" i="4" s="1"/>
  <c r="T96" i="4"/>
  <c r="U96" i="4"/>
  <c r="V96" i="4"/>
  <c r="W96" i="4"/>
  <c r="I110" i="4" a="1"/>
  <c r="I110" i="4" s="1"/>
  <c r="S206" i="9" l="1"/>
  <c r="R204" i="9"/>
  <c r="S204" i="9"/>
  <c r="R205" i="9"/>
  <c r="S205" i="9"/>
  <c r="R206" i="9"/>
  <c r="X206" i="9"/>
  <c r="R110" i="4"/>
  <c r="S110" i="4" s="1"/>
  <c r="T110" i="4"/>
  <c r="U110" i="4"/>
  <c r="V110" i="4"/>
  <c r="W110" i="4"/>
  <c r="I108" i="4" a="1"/>
  <c r="I108" i="4" s="1"/>
  <c r="I55" i="4" a="1"/>
  <c r="I55" i="4" s="1"/>
  <c r="I153" i="4" a="1"/>
  <c r="I153" i="4" s="1"/>
  <c r="I154" i="4" a="1"/>
  <c r="I154" i="4" s="1"/>
  <c r="I155" i="4" a="1"/>
  <c r="I155" i="4" s="1"/>
  <c r="I156" i="4" a="1"/>
  <c r="I156" i="4" s="1"/>
  <c r="I157" i="4" a="1"/>
  <c r="I157" i="4" s="1"/>
  <c r="I158" i="4" a="1"/>
  <c r="I158" i="4" s="1"/>
  <c r="I74" i="4" a="1"/>
  <c r="I74" i="4" s="1"/>
  <c r="R74" i="4"/>
  <c r="S74" i="4" s="1"/>
  <c r="T74" i="4"/>
  <c r="U74" i="4"/>
  <c r="V74" i="4"/>
  <c r="W74" i="4"/>
  <c r="I88" i="4" a="1"/>
  <c r="I88" i="4" s="1"/>
  <c r="I91" i="4" a="1"/>
  <c r="I91" i="4" s="1"/>
  <c r="I93" i="4" a="1"/>
  <c r="I93" i="4" s="1"/>
  <c r="R93" i="4"/>
  <c r="S93" i="4" s="1"/>
  <c r="T93" i="4"/>
  <c r="U93" i="4"/>
  <c r="V93" i="4"/>
  <c r="W93" i="4"/>
  <c r="R88" i="4"/>
  <c r="S88" i="4" s="1"/>
  <c r="T88" i="4"/>
  <c r="U88" i="4"/>
  <c r="V88" i="4"/>
  <c r="W88" i="4"/>
  <c r="C17" i="4"/>
  <c r="B17" i="4"/>
  <c r="C33" i="4"/>
  <c r="B33" i="4"/>
  <c r="C21" i="4"/>
  <c r="B21" i="4"/>
  <c r="C26" i="4"/>
  <c r="B26" i="4"/>
  <c r="I75" i="4" a="1"/>
  <c r="I75" i="4" s="1"/>
  <c r="R75" i="4"/>
  <c r="S75" i="4" s="1"/>
  <c r="T75" i="4"/>
  <c r="U75" i="4"/>
  <c r="V75" i="4"/>
  <c r="W75" i="4"/>
  <c r="I72" i="4" a="1"/>
  <c r="I72" i="4" s="1"/>
  <c r="R65" i="4"/>
  <c r="S65" i="4" s="1"/>
  <c r="R91" i="4"/>
  <c r="S91" i="4" s="1"/>
  <c r="T65" i="4"/>
  <c r="T91" i="4"/>
  <c r="U65" i="4"/>
  <c r="U91" i="4"/>
  <c r="V65" i="4"/>
  <c r="V91" i="4"/>
  <c r="W65" i="4"/>
  <c r="W91" i="4"/>
  <c r="R72" i="4"/>
  <c r="S72" i="4" s="1"/>
  <c r="T72" i="4"/>
  <c r="U72" i="4"/>
  <c r="V72" i="4"/>
  <c r="W72" i="4"/>
  <c r="R73" i="4"/>
  <c r="S73" i="4" s="1"/>
  <c r="T73" i="4"/>
  <c r="U73" i="4"/>
  <c r="V73" i="4"/>
  <c r="W73" i="4"/>
  <c r="I81" i="4" a="1"/>
  <c r="I81" i="4" s="1"/>
  <c r="R81" i="4"/>
  <c r="S81" i="4" s="1"/>
  <c r="R131" i="4"/>
  <c r="S131" i="4" s="1"/>
  <c r="T81" i="4"/>
  <c r="T131" i="4"/>
  <c r="U81" i="4"/>
  <c r="U131" i="4"/>
  <c r="V81" i="4"/>
  <c r="V131" i="4"/>
  <c r="W81" i="4"/>
  <c r="W131" i="4"/>
  <c r="R92" i="4"/>
  <c r="S92" i="4" s="1"/>
  <c r="T92" i="4"/>
  <c r="U92" i="4"/>
  <c r="V92" i="4"/>
  <c r="W92" i="4"/>
  <c r="I59" i="4" a="1"/>
  <c r="I59" i="4" s="1"/>
  <c r="R59" i="4"/>
  <c r="S59" i="4" s="1"/>
  <c r="T59" i="4"/>
  <c r="U59" i="4"/>
  <c r="V59" i="4"/>
  <c r="W59" i="4"/>
  <c r="R154" i="4"/>
  <c r="S154" i="4" s="1"/>
  <c r="R155" i="4"/>
  <c r="T154" i="4"/>
  <c r="T155" i="4"/>
  <c r="U154" i="4"/>
  <c r="U155" i="4"/>
  <c r="V154" i="4"/>
  <c r="V155" i="4"/>
  <c r="W154" i="4"/>
  <c r="W155" i="4"/>
  <c r="R108" i="4"/>
  <c r="S108" i="4" s="1"/>
  <c r="T108" i="4"/>
  <c r="U108" i="4"/>
  <c r="V108" i="4"/>
  <c r="W108" i="4"/>
  <c r="R157" i="4"/>
  <c r="S157" i="4" s="1"/>
  <c r="R156" i="4"/>
  <c r="S156" i="4" s="1"/>
  <c r="T157" i="4"/>
  <c r="T156" i="4"/>
  <c r="U157" i="4"/>
  <c r="U156" i="4"/>
  <c r="V157" i="4"/>
  <c r="V156" i="4"/>
  <c r="W157" i="4"/>
  <c r="W156" i="4"/>
  <c r="R55" i="4"/>
  <c r="S55" i="4" s="1"/>
  <c r="T55" i="4"/>
  <c r="U55" i="4"/>
  <c r="V55" i="4"/>
  <c r="W55" i="4"/>
  <c r="R158" i="4"/>
  <c r="S187" i="9" s="1"/>
  <c r="T158" i="4"/>
  <c r="U158" i="4"/>
  <c r="V158" i="4"/>
  <c r="W158" i="4"/>
  <c r="R153" i="4"/>
  <c r="S153" i="4" s="1"/>
  <c r="T153" i="4"/>
  <c r="U153" i="4"/>
  <c r="V153" i="4"/>
  <c r="W153" i="4"/>
  <c r="I70" i="4" a="1"/>
  <c r="I70" i="4" s="1"/>
  <c r="R126" i="4"/>
  <c r="S126" i="4" s="1"/>
  <c r="T126" i="4"/>
  <c r="U126" i="4"/>
  <c r="V126" i="4"/>
  <c r="W126" i="4"/>
  <c r="R127" i="4"/>
  <c r="S127" i="4" s="1"/>
  <c r="T127" i="4"/>
  <c r="U127" i="4"/>
  <c r="V127" i="4"/>
  <c r="W127" i="4"/>
  <c r="I90" i="4" a="1"/>
  <c r="I90" i="4" s="1"/>
  <c r="R90" i="4"/>
  <c r="S90" i="4" s="1"/>
  <c r="T90" i="4"/>
  <c r="U90" i="4"/>
  <c r="V90" i="4"/>
  <c r="W90" i="4"/>
  <c r="R71" i="4"/>
  <c r="S71" i="4" s="1"/>
  <c r="T71" i="4"/>
  <c r="U71" i="4"/>
  <c r="V71" i="4"/>
  <c r="W71" i="4"/>
  <c r="X51" i="11"/>
  <c r="W51" i="11"/>
  <c r="V51" i="11"/>
  <c r="U51" i="11"/>
  <c r="T51" i="11"/>
  <c r="R51" i="11"/>
  <c r="S51" i="11" s="1"/>
  <c r="I51" i="11" a="1"/>
  <c r="I51" i="11" s="1"/>
  <c r="X50" i="11"/>
  <c r="W50" i="11"/>
  <c r="V50" i="11"/>
  <c r="U50" i="11"/>
  <c r="T50" i="11"/>
  <c r="R50" i="11"/>
  <c r="S50" i="11" s="1"/>
  <c r="I50" i="11" a="1"/>
  <c r="I50" i="11" s="1"/>
  <c r="X49" i="11"/>
  <c r="W49" i="11"/>
  <c r="V49" i="11"/>
  <c r="U49" i="11"/>
  <c r="T49" i="11"/>
  <c r="R49" i="11"/>
  <c r="S49" i="11" s="1"/>
  <c r="I49" i="11" a="1"/>
  <c r="I49" i="11" s="1"/>
  <c r="X48" i="11"/>
  <c r="W48" i="11"/>
  <c r="V48" i="11"/>
  <c r="U48" i="11"/>
  <c r="T48" i="11"/>
  <c r="R48" i="11"/>
  <c r="S48" i="11" s="1"/>
  <c r="I48" i="11" a="1"/>
  <c r="I48" i="11" s="1"/>
  <c r="X47" i="11"/>
  <c r="W47" i="11"/>
  <c r="V47" i="11"/>
  <c r="U47" i="11"/>
  <c r="T47" i="11"/>
  <c r="R47" i="11"/>
  <c r="S47" i="11" s="1"/>
  <c r="I47" i="11" a="1"/>
  <c r="I47" i="11" s="1"/>
  <c r="X46" i="11"/>
  <c r="W46" i="11"/>
  <c r="V46" i="11"/>
  <c r="U46" i="11"/>
  <c r="T46" i="11"/>
  <c r="R46" i="11"/>
  <c r="S46" i="11" s="1"/>
  <c r="I46" i="11" a="1"/>
  <c r="I46" i="11" s="1"/>
  <c r="X45" i="11"/>
  <c r="W45" i="11"/>
  <c r="V45" i="11"/>
  <c r="U45" i="11"/>
  <c r="T45" i="11"/>
  <c r="R45" i="11"/>
  <c r="S45" i="11" s="1"/>
  <c r="I45" i="11" a="1"/>
  <c r="I45" i="11" s="1"/>
  <c r="X44" i="11"/>
  <c r="W44" i="11"/>
  <c r="V44" i="11"/>
  <c r="U44" i="11"/>
  <c r="T44" i="11"/>
  <c r="R44" i="11"/>
  <c r="S44" i="11" s="1"/>
  <c r="I44" i="11" a="1"/>
  <c r="I44" i="11" s="1"/>
  <c r="X43" i="11"/>
  <c r="W43" i="11"/>
  <c r="V43" i="11"/>
  <c r="U43" i="11"/>
  <c r="T43" i="11"/>
  <c r="R43" i="11"/>
  <c r="S43" i="11" s="1"/>
  <c r="I43" i="11" a="1"/>
  <c r="I43" i="11" s="1"/>
  <c r="X42" i="11"/>
  <c r="W42" i="11"/>
  <c r="V42" i="11"/>
  <c r="U42" i="11"/>
  <c r="T42" i="11"/>
  <c r="R42" i="11"/>
  <c r="S42" i="11" s="1"/>
  <c r="I42" i="11" a="1"/>
  <c r="I42" i="11" s="1"/>
  <c r="X38" i="11"/>
  <c r="W38" i="11"/>
  <c r="V38" i="11"/>
  <c r="U38" i="11"/>
  <c r="T38" i="11"/>
  <c r="R38" i="11"/>
  <c r="S38" i="11" s="1"/>
  <c r="I38" i="11" a="1"/>
  <c r="I38" i="11" s="1"/>
  <c r="X37" i="11"/>
  <c r="W37" i="11"/>
  <c r="V37" i="11"/>
  <c r="U37" i="11"/>
  <c r="T37" i="11"/>
  <c r="R37" i="11"/>
  <c r="S37" i="11" s="1"/>
  <c r="X36" i="11"/>
  <c r="W36" i="11"/>
  <c r="V36" i="11"/>
  <c r="U36" i="11"/>
  <c r="T36" i="11"/>
  <c r="R36" i="11"/>
  <c r="S36" i="11" s="1"/>
  <c r="X35" i="11"/>
  <c r="W35" i="11"/>
  <c r="V35" i="11"/>
  <c r="U35" i="11"/>
  <c r="T35" i="11"/>
  <c r="R35" i="11"/>
  <c r="S35" i="11" s="1"/>
  <c r="I35" i="11" a="1"/>
  <c r="I35" i="11" s="1"/>
  <c r="X34" i="11"/>
  <c r="W34" i="11"/>
  <c r="V34" i="11"/>
  <c r="U34" i="11"/>
  <c r="T34" i="11"/>
  <c r="R34" i="11"/>
  <c r="S34" i="11" s="1"/>
  <c r="I34" i="11" a="1"/>
  <c r="I34" i="11" s="1"/>
  <c r="X33" i="11"/>
  <c r="W33" i="11"/>
  <c r="V33" i="11"/>
  <c r="U33" i="11"/>
  <c r="T33" i="11"/>
  <c r="R33" i="11"/>
  <c r="S33" i="11" s="1"/>
  <c r="I33" i="11" a="1"/>
  <c r="I33" i="11" s="1"/>
  <c r="X32" i="11"/>
  <c r="W32" i="11"/>
  <c r="V32" i="11"/>
  <c r="U32" i="11"/>
  <c r="T32" i="11"/>
  <c r="R32" i="11"/>
  <c r="S32" i="11" s="1"/>
  <c r="I32" i="11" a="1"/>
  <c r="I32" i="11" s="1"/>
  <c r="X31" i="11"/>
  <c r="W31" i="11"/>
  <c r="V31" i="11"/>
  <c r="U31" i="11"/>
  <c r="T31" i="11"/>
  <c r="R31" i="11"/>
  <c r="S31" i="11" s="1"/>
  <c r="I31" i="11" a="1"/>
  <c r="I31" i="11" s="1"/>
  <c r="X30" i="11"/>
  <c r="W30" i="11"/>
  <c r="V30" i="11"/>
  <c r="U30" i="11"/>
  <c r="T30" i="11"/>
  <c r="R30" i="11"/>
  <c r="S30" i="11" s="1"/>
  <c r="I30" i="11" a="1"/>
  <c r="I30" i="11" s="1"/>
  <c r="X29" i="11"/>
  <c r="W29" i="11"/>
  <c r="V29" i="11"/>
  <c r="U29" i="11"/>
  <c r="T29" i="11"/>
  <c r="R29" i="11"/>
  <c r="S29" i="11" s="1"/>
  <c r="X28" i="11"/>
  <c r="W28" i="11"/>
  <c r="V28" i="11"/>
  <c r="U28" i="11"/>
  <c r="T28" i="11"/>
  <c r="R28" i="11"/>
  <c r="S28" i="11" s="1"/>
  <c r="I28" i="11" a="1"/>
  <c r="I28" i="11" s="1"/>
  <c r="X27" i="11"/>
  <c r="W27" i="11"/>
  <c r="V27" i="11"/>
  <c r="U27" i="11"/>
  <c r="T27" i="11"/>
  <c r="R27" i="11"/>
  <c r="S27" i="11" s="1"/>
  <c r="I27" i="11" a="1"/>
  <c r="I27" i="11" s="1"/>
  <c r="X26" i="11"/>
  <c r="W26" i="11"/>
  <c r="V26" i="11"/>
  <c r="U26" i="11"/>
  <c r="T26" i="11"/>
  <c r="R26" i="11"/>
  <c r="S26" i="11" s="1"/>
  <c r="C23" i="11"/>
  <c r="B23" i="11"/>
  <c r="C22" i="11"/>
  <c r="B22" i="11"/>
  <c r="C21" i="11"/>
  <c r="B21" i="11"/>
  <c r="C20" i="11"/>
  <c r="B20" i="11"/>
  <c r="C19" i="11"/>
  <c r="B19" i="11"/>
  <c r="C18" i="11"/>
  <c r="B18" i="11"/>
  <c r="C17" i="11"/>
  <c r="B17" i="11"/>
  <c r="C16" i="11"/>
  <c r="B16" i="11"/>
  <c r="C15" i="11"/>
  <c r="B15" i="11"/>
  <c r="C14" i="11"/>
  <c r="B14" i="11"/>
  <c r="C13" i="11"/>
  <c r="B13" i="11"/>
  <c r="E10" i="11"/>
  <c r="E4" i="11"/>
  <c r="I54" i="4" a="1"/>
  <c r="I54" i="4" s="1"/>
  <c r="R54" i="4"/>
  <c r="S54" i="4" s="1"/>
  <c r="T54" i="4"/>
  <c r="U54" i="4"/>
  <c r="V54" i="4"/>
  <c r="W54" i="4"/>
  <c r="I53" i="4" a="1"/>
  <c r="I53" i="4" s="1"/>
  <c r="R53" i="4"/>
  <c r="S53" i="4" s="1"/>
  <c r="T53" i="4"/>
  <c r="U53" i="4"/>
  <c r="V53" i="4"/>
  <c r="W53" i="4"/>
  <c r="I48" i="4" a="1"/>
  <c r="I48" i="4" s="1"/>
  <c r="R48" i="4"/>
  <c r="S48" i="4" s="1"/>
  <c r="T48" i="4"/>
  <c r="U48" i="4"/>
  <c r="V48" i="4"/>
  <c r="W48" i="4"/>
  <c r="I95" i="4" a="1"/>
  <c r="I95" i="4" s="1"/>
  <c r="R95" i="4"/>
  <c r="S95" i="4" s="1"/>
  <c r="T95" i="4"/>
  <c r="U95" i="4"/>
  <c r="V95" i="4"/>
  <c r="W95" i="4"/>
  <c r="I43" i="4" a="1"/>
  <c r="I43" i="4" s="1"/>
  <c r="R43" i="4"/>
  <c r="S43" i="4" s="1"/>
  <c r="T43" i="4"/>
  <c r="U43" i="4"/>
  <c r="V43" i="4"/>
  <c r="W43" i="4"/>
  <c r="I117" i="4" a="1"/>
  <c r="I117" i="4" s="1"/>
  <c r="R117" i="4"/>
  <c r="S117" i="4" s="1"/>
  <c r="T117" i="4"/>
  <c r="U117" i="4"/>
  <c r="V117" i="4"/>
  <c r="W117" i="4"/>
  <c r="B32" i="4"/>
  <c r="I66" i="4" a="1"/>
  <c r="I66" i="4" s="1"/>
  <c r="R66" i="4"/>
  <c r="S66" i="4" s="1"/>
  <c r="T66" i="4"/>
  <c r="U66" i="4"/>
  <c r="V66" i="4"/>
  <c r="W66" i="4"/>
  <c r="V40" i="4"/>
  <c r="V42" i="4"/>
  <c r="V44" i="4"/>
  <c r="V122" i="4"/>
  <c r="V129" i="4"/>
  <c r="V145" i="4"/>
  <c r="V70" i="4"/>
  <c r="U40" i="4"/>
  <c r="U42" i="4"/>
  <c r="U44" i="4"/>
  <c r="U122" i="4"/>
  <c r="U129" i="4"/>
  <c r="U145" i="4"/>
  <c r="U70" i="4"/>
  <c r="S158" i="4" l="1"/>
  <c r="S155" i="4"/>
  <c r="S185" i="9"/>
  <c r="R70" i="4"/>
  <c r="S70" i="4" s="1"/>
  <c r="T70" i="4"/>
  <c r="W70" i="4"/>
  <c r="I145" i="4" a="1"/>
  <c r="I145" i="4" s="1"/>
  <c r="I44" i="4" a="1"/>
  <c r="I44" i="4" s="1"/>
  <c r="R129" i="4"/>
  <c r="S129" i="4" s="1"/>
  <c r="T129" i="4"/>
  <c r="W129" i="4"/>
  <c r="I40" i="4" a="1"/>
  <c r="I40" i="4" s="1"/>
  <c r="R40" i="4"/>
  <c r="S40" i="4" s="1"/>
  <c r="T40" i="4"/>
  <c r="W40" i="4"/>
  <c r="R42" i="4"/>
  <c r="S42" i="4" s="1"/>
  <c r="T42" i="4"/>
  <c r="W42" i="4"/>
  <c r="R44" i="4"/>
  <c r="S44" i="4" s="1"/>
  <c r="T44" i="4"/>
  <c r="W44" i="4"/>
  <c r="R122" i="4"/>
  <c r="S122" i="4" s="1"/>
  <c r="T122" i="4"/>
  <c r="W122" i="4"/>
  <c r="R145" i="4"/>
  <c r="S145" i="4" s="1"/>
  <c r="T145" i="4"/>
  <c r="W145" i="4"/>
  <c r="C14" i="4"/>
  <c r="B14" i="4"/>
  <c r="C19" i="4"/>
  <c r="C24" i="4"/>
  <c r="C25" i="4"/>
  <c r="C27" i="4"/>
  <c r="C28" i="4"/>
  <c r="C29" i="4"/>
  <c r="C30" i="4"/>
  <c r="C31" i="4"/>
  <c r="C32" i="4"/>
  <c r="C34" i="4"/>
  <c r="C35" i="4"/>
  <c r="B19" i="4"/>
  <c r="B24" i="4"/>
  <c r="B25" i="4"/>
  <c r="B27" i="4"/>
  <c r="B28" i="4"/>
  <c r="B29" i="4"/>
  <c r="B30" i="4"/>
  <c r="B31" i="4"/>
  <c r="B34" i="4"/>
  <c r="B35" i="4"/>
  <c r="C18" i="4"/>
  <c r="B18" i="4"/>
  <c r="C16" i="4"/>
  <c r="C15" i="4"/>
  <c r="B15" i="4"/>
  <c r="C13" i="4"/>
  <c r="B1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 Mathieu Ferre</author>
  </authors>
  <commentList>
    <comment ref="E42" authorId="0" shapeId="0" xr:uid="{DEF8B6D4-F4B0-4B39-B6B2-17A5E29AFC3C}">
      <text>
        <r>
          <rPr>
            <sz val="11"/>
            <color theme="1"/>
            <rFont val="Calibri"/>
            <family val="2"/>
            <scheme val="minor"/>
          </rPr>
          <t>15.01: Target SC moved from late October to mid November 2025.
12.02: Programme have been updated
30.04: Operational Readiness 16.03.2026
07.05: TIA related to VAR 576 has been rejected.
17.09: SHP commented ultimate planning with S/C by the end of January.
=&gt; Substantial Completion in January is not achievable without active action on planning and resources.
05.11: Substantial completion by end of February</t>
        </r>
      </text>
    </comment>
    <comment ref="E48" authorId="0" shapeId="0" xr:uid="{69C1646B-C1EE-4172-83DE-C534CA8A2020}">
      <text>
        <r>
          <rPr>
            <sz val="11"/>
            <color theme="1"/>
            <rFont val="Calibri"/>
            <family val="2"/>
            <scheme val="minor"/>
          </rPr>
          <t>•	Aligning accountability by assigning clear ownership for pending QC/QA actions in the minutes.
•	Formally escalate and document blocking situations
•	Verify the effectiveness of corrective actions
•	Expose stakeholders' compliance per contractual obligations
28.05: TCI Pending 148
04.06: TCI Pending 164
11.06: TCI Pending 148
18.06: TCI pending = 136
27.06: TCI pending = 102
09.07: TCI pending
RPN = 92
SOMBP = 7
SHP = 1
16.07: TCI pending
RPN = 89
SOMBP = 7
SHP = 1</t>
        </r>
      </text>
    </comment>
    <comment ref="E53" authorId="0" shapeId="0" xr:uid="{F0967F74-D3E8-4DB6-B62C-3ED428919896}">
      <text>
        <r>
          <rPr>
            <sz val="11"/>
            <color theme="1"/>
            <rFont val="Calibri"/>
            <family val="2"/>
            <scheme val="minor"/>
          </rPr>
          <t>09.07: Priority on UNTV / Access control / Electrical opening / offices
23.07.
30.07: Production of doors is blocked due to RPN/ VIGANO commercial issue.
20.08: VIGANO will end production with Building A. MANGINI / BARAUS to handover.
08.10: WINDOW FRAME installation to start 20.10 finish 28.11.
- Salle C6 Woden panel 10.11
- Salle C6 Furnitures &amp; frames 24.11
- Pantries 24.11
- Metal doors +/- mid december
- Wooden doors TBC
22.10: Wooden door to be delivered 08.12
05.11: Delivery program is confirmed except for Wooden doors.
Metal doors  delivery is planed for January, and Wooden doors for February.
26.11: delivery 15.11
03.12: 1 week delay on window installation
10.12: Window frame on going at level 3
17.12: Window frame to be completed by begining of Jan.</t>
        </r>
      </text>
    </comment>
    <comment ref="F53" authorId="0" shapeId="0" xr:uid="{239A2F3B-06B6-4CB0-A319-1E8CB68A8FB1}">
      <text>
        <r>
          <rPr>
            <sz val="11"/>
            <color theme="1"/>
            <rFont val="Calibri"/>
            <family val="2"/>
            <scheme val="minor"/>
          </rPr>
          <t>09.07: RPN to confirm potential impact on Substantial completion.
20.08: RPN to confirm 1st delivery.
submit dwg, MAS and samples.</t>
        </r>
      </text>
    </comment>
    <comment ref="E54" authorId="0" shapeId="0" xr:uid="{E8CE7887-88B7-4330-86F1-E39D2EA5C6E5}">
      <text>
        <r>
          <rPr>
            <sz val="11"/>
            <color theme="1"/>
            <rFont val="Calibri"/>
            <family val="2"/>
            <scheme val="minor"/>
          </rPr>
          <t>09.07: Procurement 2 months (including August) + installation 2 month + T&amp;C.
30.07: SHP notify that delay on desing may impact Substantial completion.
10.09: Dwg appoved by SOMBP.</t>
        </r>
      </text>
    </comment>
    <comment ref="E55" authorId="0" shapeId="0" xr:uid="{A88B6027-F86B-4860-AF5C-5B17B993E134}">
      <text>
        <r>
          <rPr>
            <sz val="11"/>
            <color theme="1"/>
            <rFont val="Calibri"/>
            <family val="2"/>
            <scheme val="minor"/>
          </rPr>
          <t>30.09: EGL is taking measurment on site.
Material to arrive on site +/- mid november
Lift 6 (Full replacement): completion mid december
Lift 5 (Full replacement): completion mid january
Lift 23: 
Platform Salle C6
Platform C5
22.10: Lift 23 is stacked between 2 floors
22.10: Starting 27.10, EGL will start working.</t>
        </r>
      </text>
    </comment>
    <comment ref="E56" authorId="0" shapeId="0" xr:uid="{62B0133A-2B50-4251-8272-A84D7D6CF365}">
      <text>
        <r>
          <rPr>
            <sz val="11"/>
            <color theme="1"/>
            <rFont val="Calibri"/>
            <family val="2"/>
            <scheme val="minor"/>
          </rPr>
          <t>13.07.24 : VAR has been determined.
27.08.24: RPN submitt NoD.
SHP to confirm if NoD is covered by ammendment 7.</t>
        </r>
      </text>
    </comment>
    <comment ref="E61" authorId="0" shapeId="0" xr:uid="{897FBE1A-5702-4819-9C0F-7AB3BC7A16CD}">
      <text>
        <r>
          <rPr>
            <sz val="11"/>
            <color theme="1"/>
            <rFont val="Calibri"/>
            <family val="2"/>
            <scheme val="minor"/>
          </rPr>
          <t>29.10: Preparatory works started
05.11: Completion of painting is expected for 12/11
19.11: finishes on going
26.11: Painting completed</t>
        </r>
      </text>
    </comment>
    <comment ref="E71" authorId="0" shapeId="0" xr:uid="{29670B8E-2727-4E9B-AEDC-5743BDD7860F}">
      <text>
        <r>
          <rPr>
            <sz val="11"/>
            <color theme="1"/>
            <rFont val="Calibri"/>
            <family val="2"/>
            <scheme val="minor"/>
          </rPr>
          <t>25.07: RPN/ EGGTELSA raised issue about the certification of the F15 electrical panel.
15.08: : Extent of the works is agreed and validated, refer to MMs of EL WTM 5.539 for details
25.08: Approved solution:
F15—F15-2 : new cables
F15-2—Lights : existing cables
F15—flat cables : new
Flat cables : kept
Flat cables –sockets : new
17.09: Step 3 issued
08.10: Strip out started today
15.10: F15 Panel have been ordered,
16.10: delivery mid december, Press bar is afected
22.10: Strip out to be completed 25.10
29.10: Strip out completed, cable pulling started
29.10: Step 3 rev1 have been issued w/o AV comments. RPN will proceed with 107 AV cables.
01.11: SHP submitted AV comments
05.11: Cable tray is under instalation
12.11: technical discussion ongoing regarding cable tray
26.11: Works on hold waiting for Commercial agrement
03.12: Works to start begining of January (dwg to be approved before)
2 month to complete the job
17.12: SHP/RPN agree to start execution based on phase 5 dwg submited together with VAR 625</t>
        </r>
      </text>
    </comment>
    <comment ref="E74" authorId="0" shapeId="0" xr:uid="{E7161E9C-5012-4EBE-AF8C-9DCB767E7333}">
      <text>
        <r>
          <rPr>
            <sz val="11"/>
            <color theme="1"/>
            <rFont val="Calibri"/>
            <family val="2"/>
            <scheme val="minor"/>
          </rPr>
          <t>12.03: 3P started the invemtory
02.04: Inventory have been completed.
09.04: Inventory have been submitted.
29.10: 3P original inventory was not properly done.</t>
        </r>
      </text>
    </comment>
    <comment ref="E83" authorId="0" shapeId="0" xr:uid="{7D1C66FA-D3D6-4E8F-BDC8-CC953B1E453C}">
      <text>
        <r>
          <rPr>
            <sz val="11"/>
            <color theme="1"/>
            <rFont val="Calibri"/>
            <family val="2"/>
            <scheme val="minor"/>
          </rPr>
          <t>HR61 23.02-02.04
WHO 13.05-23.05
BIT 01.06-12.06
? mid june
OHCR 08.09</t>
        </r>
      </text>
    </comment>
    <comment ref="E110" authorId="0" shapeId="0" xr:uid="{CB960136-10DF-489D-AE84-1AEA2BEBFB34}">
      <text>
        <r>
          <rPr>
            <sz val="11"/>
            <color theme="1"/>
            <rFont val="Calibri"/>
            <family val="2"/>
            <scheme val="minor"/>
          </rPr>
          <t>02.10: 46 dwg, 22 on Pmwb
21: dwg ready (Energie Management - EGGTELSA payment)
1: Functional analysis
2: panel impacted by VAR 110 &amp; 146 + new panel impaced by VAR xxx
PROCUREMENT: 16 panels in total 1 missing (Procurement)
01.10: RPN to confirm instalation status.
02.10: RPN to confirm on site delivery
15.10: Majority of BMS panels have been delivered.
22.10: RPN to solve technical issue on TC201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 Mathieu Ferre</author>
  </authors>
  <commentList>
    <comment ref="F201" authorId="0" shapeId="0" xr:uid="{C7AC2BF0-DF61-4550-B36F-E5A1C4EEFB27}">
      <text>
        <r>
          <rPr>
            <sz val="11"/>
            <color theme="1"/>
            <rFont val="Calibri"/>
            <family val="2"/>
            <scheme val="minor"/>
          </rPr>
          <t xml:space="preserve">Add Pierre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15BA08-476C-4E9A-8597-C41DA702FEE8}" keepAlive="1" name="Query - DELEGATE" description="Connection to the 'DELEGATE' query in the workbook." type="5" refreshedVersion="8" background="1" saveData="1">
    <dbPr connection="Provider=Microsoft.Mashup.OleDb.1;Data Source=$Workbook$;Location=DELEGATE;Extended Properties=&quot;&quot;" command="SELECT * FROM [DELEGATE]"/>
  </connection>
  <connection id="2" xr16:uid="{91D1AEE4-1DF1-4C1D-9B18-7B7F4EFCAB86}" keepAlive="1" name="Query - DISCIPLINE" description="Connection to the 'DISCIPLINE' query in the workbook." type="5" refreshedVersion="8" background="1" saveData="1">
    <dbPr connection="Provider=Microsoft.Mashup.OleDb.1;Data Source=$Workbook$;Location=DISCIPLINE;Extended Properties=&quot;&quot;" command="SELECT * FROM [DISCIPLINE]"/>
  </connection>
  <connection id="3" xr16:uid="{6E051991-C00C-48B0-97A6-260DC9C6F0A1}" keepAlive="1" interval="60" name="Query - OWNER LIST" description="Connection to the 'OWNER LIST' query in the workbook." type="5" refreshedVersion="8" background="1" saveData="1">
    <dbPr connection="Provider=Microsoft.Mashup.OleDb.1;Data Source=$Workbook$;Location=&quot;OWNER LIST&quot;;Extended Properties=&quot;&quot;" command="SELECT * FROM [OWNER LI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<sst xmlns="http://schemas.openxmlformats.org/spreadsheetml/2006/main" count="4412" uniqueCount="1983">
  <si>
    <t>#</t>
  </si>
  <si>
    <t>MEETING AGENDA</t>
  </si>
  <si>
    <t>A</t>
  </si>
  <si>
    <t>MEETING DETAILS</t>
  </si>
  <si>
    <t> </t>
  </si>
  <si>
    <t>MEETING.</t>
  </si>
  <si>
    <t>PRODUCTION</t>
  </si>
  <si>
    <t>WEEK NO.</t>
  </si>
  <si>
    <t>SECTION</t>
  </si>
  <si>
    <t>C</t>
  </si>
  <si>
    <t>DATE</t>
  </si>
  <si>
    <t>TIME</t>
  </si>
  <si>
    <t>LOCATION</t>
  </si>
  <si>
    <t>Building C : R005</t>
  </si>
  <si>
    <t>PURPOSE</t>
  </si>
  <si>
    <t>- To support and protect the Production Plan
- To strive for improved Production Plan stability and predictability.</t>
  </si>
  <si>
    <t>NEXT MEETING</t>
  </si>
  <si>
    <t>B</t>
  </si>
  <si>
    <t>STAKEHOLDERS</t>
  </si>
  <si>
    <t>Org.</t>
  </si>
  <si>
    <t>In Attendance</t>
  </si>
  <si>
    <t>Name</t>
  </si>
  <si>
    <t>Column1</t>
  </si>
  <si>
    <t>Yes</t>
  </si>
  <si>
    <t>Lorenzo Barnini</t>
  </si>
  <si>
    <t>Matteo Naldi</t>
  </si>
  <si>
    <t>No</t>
  </si>
  <si>
    <t>Jessica Donatelli</t>
  </si>
  <si>
    <t>Federica Brunone</t>
  </si>
  <si>
    <t>Chiara Re Depaolini</t>
  </si>
  <si>
    <t>Simone Conti</t>
  </si>
  <si>
    <t>Martina Maffioletti</t>
  </si>
  <si>
    <t>Hacir Degirmencioglu</t>
  </si>
  <si>
    <t>Leonardo Valentinotti</t>
  </si>
  <si>
    <t>MariaCristina Menozzi</t>
  </si>
  <si>
    <t>Zeynep Onen</t>
  </si>
  <si>
    <t>Neil Bradley</t>
  </si>
  <si>
    <t>Patrick Fowler</t>
  </si>
  <si>
    <t>Cedric Kusendova</t>
  </si>
  <si>
    <t>Maryna Chernova</t>
  </si>
  <si>
    <t>Jean-Mathieu Ferre</t>
  </si>
  <si>
    <t>Kateryna Starykova</t>
  </si>
  <si>
    <t>Benoit Renault</t>
  </si>
  <si>
    <t>Cedric Erard</t>
  </si>
  <si>
    <t>Lucille Treille de Grandsaigne</t>
  </si>
  <si>
    <t>Rosario Marino</t>
  </si>
  <si>
    <t>Didier Dequatre</t>
  </si>
  <si>
    <t>C1</t>
  </si>
  <si>
    <t>MEETING TOPIC</t>
  </si>
  <si>
    <t>ACTION - INFO</t>
  </si>
  <si>
    <t>STATUS</t>
  </si>
  <si>
    <t>DESCRIPTION -  INFORMATION LOG</t>
  </si>
  <si>
    <t>ACTION REQUIRED</t>
  </si>
  <si>
    <t>PRIORITY</t>
  </si>
  <si>
    <t>DUE DATE</t>
  </si>
  <si>
    <t>OWNER ORG.</t>
  </si>
  <si>
    <t>OWNER NAME 1</t>
  </si>
  <si>
    <t>OWNER NAME 2</t>
  </si>
  <si>
    <t>DISCIPLINE</t>
  </si>
  <si>
    <t>DATE LOGGED</t>
  </si>
  <si>
    <t>DATE CLOSED</t>
  </si>
  <si>
    <t>ESCALATE</t>
  </si>
  <si>
    <t>Note</t>
  </si>
  <si>
    <t>Row_PM</t>
  </si>
  <si>
    <t>Notify_PM</t>
  </si>
  <si>
    <t>Condition_PM</t>
  </si>
  <si>
    <t>ROW</t>
  </si>
  <si>
    <t>Email_Name_1</t>
  </si>
  <si>
    <t>Email_Name_2</t>
  </si>
  <si>
    <t>Nonull</t>
  </si>
  <si>
    <t>C_1</t>
  </si>
  <si>
    <t>HEALTH &amp; SAFETY</t>
  </si>
  <si>
    <t>HSE</t>
  </si>
  <si>
    <t>Fire closure between Bldg C and AC
- Level 4 &amp; 5</t>
  </si>
  <si>
    <t>CLOSED</t>
  </si>
  <si>
    <t>Permenent FR glazed door instaled at level 4 and 5 are not closing properly</t>
  </si>
  <si>
    <t>07.01: RPN to repair the locks.</t>
  </si>
  <si>
    <t>TOP</t>
  </si>
  <si>
    <t>C_2</t>
  </si>
  <si>
    <t>GENERAL</t>
  </si>
  <si>
    <t>SUBSTANTIAL COMPLETION</t>
  </si>
  <si>
    <t>INFO</t>
  </si>
  <si>
    <t>OPEN</t>
  </si>
  <si>
    <t>18.02: Substantial completion is pending availability of EGGTELSA manpower on site
04.03</t>
  </si>
  <si>
    <r>
      <rPr>
        <sz val="11"/>
        <color rgb="FF000000"/>
        <rFont val="Calibri"/>
        <scheme val="minor"/>
      </rPr>
      <t xml:space="preserve">25.02: Official S.C. 24.04 (no exclusion)
</t>
    </r>
    <r>
      <rPr>
        <sz val="11"/>
        <color rgb="FFFF0000"/>
        <rFont val="Calibri"/>
        <scheme val="minor"/>
      </rPr>
      <t>04.03: RPN to confirm which areas can be delivered on 24.04.</t>
    </r>
  </si>
  <si>
    <t>High</t>
  </si>
  <si>
    <t>07.05: Program have been updated with new S.C 16.12
TIA to 16.12 due to VAR 576
C6 / PRESS BAR / COUNCIL CHAMBER
- NCF 334 salle C6 (see details bellow)
- NCF 367 fire enclosure (see details bellow)</t>
  </si>
  <si>
    <t>14.05: Complete the works by the end of July
05.11: RPN to update board</t>
  </si>
  <si>
    <t>PPC</t>
  </si>
  <si>
    <r>
      <rPr>
        <b/>
        <sz val="11"/>
        <color rgb="FF000000"/>
        <rFont val="Calibri"/>
      </rPr>
      <t xml:space="preserve">22.10: Blocking topic:
</t>
    </r>
    <r>
      <rPr>
        <sz val="11"/>
        <color rgb="FF000000"/>
        <rFont val="Calibri"/>
      </rPr>
      <t xml:space="preserve">- Lack of resources (EGGTELSA LB2/ Council chamber)
- EGGTELSA have 25# on site (C + B + S2) - 8 to 10 peoples missing
- Electrical instalation at LB2
- EGL </t>
    </r>
  </si>
  <si>
    <t>Low</t>
  </si>
  <si>
    <t>POLICE DU FEU</t>
  </si>
  <si>
    <t>21.01: Planed 14.04</t>
  </si>
  <si>
    <t>Medium</t>
  </si>
  <si>
    <t>WINDOWS
- NCF 382 (A-AB-C)</t>
  </si>
  <si>
    <t>ACTION</t>
  </si>
  <si>
    <r>
      <rPr>
        <sz val="11"/>
        <color rgb="FF000000"/>
        <rFont val="Calibri"/>
        <scheme val="minor"/>
      </rPr>
      <t xml:space="preserve">18.02: New quality topic has been issued concerning windows
NCF
18.02: Powder coating is cracking.
</t>
    </r>
    <r>
      <rPr>
        <sz val="11"/>
        <color rgb="FF00B0F0"/>
        <rFont val="Calibri"/>
        <scheme val="minor"/>
      </rPr>
      <t>24.02: NCF 382 has been raised +/- 40 windows afected.
25.02: Supplier visited site</t>
    </r>
  </si>
  <si>
    <t>25.02: RPN to organize site inspection with Manufacturer. +/- 03.03.</t>
  </si>
  <si>
    <t>Davide Cirillo</t>
  </si>
  <si>
    <t>DESIGN</t>
  </si>
  <si>
    <t>Phase 6 dwg
As build dwg</t>
  </si>
  <si>
    <r>
      <rPr>
        <sz val="11"/>
        <color rgb="FF000000"/>
        <rFont val="Calibri"/>
        <scheme val="minor"/>
      </rPr>
      <t xml:space="preserve">28.01: +/- 100 Phase 6 dwg with R&amp;R status
</t>
    </r>
    <r>
      <rPr>
        <sz val="11"/>
        <color rgb="FF00B0F0"/>
        <rFont val="Calibri"/>
        <scheme val="minor"/>
      </rPr>
      <t>16.02: As built dwg list has been submitted</t>
    </r>
  </si>
  <si>
    <t>04/03: SHP to assess</t>
  </si>
  <si>
    <t>Donatella Rocca</t>
  </si>
  <si>
    <t>TCI
- Follow-Up</t>
  </si>
  <si>
    <t>17.09: TCI pending
RPN = 92
SOMBP = 0
SHP =1</t>
  </si>
  <si>
    <t>EGGTELSA</t>
  </si>
  <si>
    <t>EGGTELSA complains about 11 new INS / VAR impacting Substatial completion</t>
  </si>
  <si>
    <t>28.01: RPN to present a syntesis of issues and impact on delay</t>
  </si>
  <si>
    <t>FIRE MATRIX</t>
  </si>
  <si>
    <r>
      <rPr>
        <sz val="11"/>
        <color rgb="FF000000"/>
        <rFont val="Calibri"/>
        <scheme val="minor"/>
      </rPr>
      <t xml:space="preserve">03.12: meeting took place SBIS/ ENERGY MANAGEMENT
03.12: EGGTELSA needs 2month of works after Fire Matrix is approved
09.12: ENERGY MANAGEMENT provided info, pending SBIS
07.01: Fire Matrix have been uploaded on Pmweb, MEP approved as noted
14.01: Approved as noted (some doors missing)
17.02: FIRE MATRIX has been uploaded
</t>
    </r>
    <r>
      <rPr>
        <sz val="11"/>
        <color rgb="FFFF0000"/>
        <rFont val="Calibri"/>
        <scheme val="minor"/>
      </rPr>
      <t>21.02: phase.14 comments have been Uploaded. Status R&amp;R (Minor comments, Technical issues are approved)</t>
    </r>
  </si>
  <si>
    <r>
      <rPr>
        <sz val="11"/>
        <color rgb="FF000000"/>
        <rFont val="Calibri"/>
        <scheme val="minor"/>
      </rPr>
      <t xml:space="preserve">21.01: RPN/ SBIS to update per comments
28.01: RPN to submit
11.02: RPN to submit on 11.02
18.02: SOMBP/ SHP to update
</t>
    </r>
    <r>
      <rPr>
        <sz val="11"/>
        <color rgb="FFFF0000"/>
        <rFont val="Calibri"/>
        <scheme val="minor"/>
      </rPr>
      <t>23.02: RPN to assess +/- 05.03</t>
    </r>
  </si>
  <si>
    <t>FIRE HOSES</t>
  </si>
  <si>
    <t>18.02: RPN instructed to PXT to reinstalled Fire hoses at Level 1 &amp; 2</t>
  </si>
  <si>
    <t>18.02: Fire hoses to be T&amp;C + certified
PXT to submit report</t>
  </si>
  <si>
    <t>Amos Anderini</t>
  </si>
  <si>
    <t>FIRE FIGHTER ROUTE
- INS 421 - VAR 536</t>
  </si>
  <si>
    <t>23.12: Step 4 has been submitted.
28.01: RPN planned completion of works by begining of march.</t>
  </si>
  <si>
    <t>21.01: RPN to plan execution in AC and S1</t>
  </si>
  <si>
    <t>VIGANO
- Wooden Doors
- Windows frame
- Furnitures</t>
  </si>
  <si>
    <r>
      <rPr>
        <sz val="11"/>
        <color rgb="FF000000"/>
        <rFont val="Calibri"/>
        <scheme val="minor"/>
      </rPr>
      <t xml:space="preserve">07.01: Windows frame to be completed by 19 of Jan
07.01: metal door to be delivered in January
Acosutic doors in Febrary
Wooden door delivery in March
21.01: VIGANO is back on site, window installation on going. EGGTELSA delayed by 1week
</t>
    </r>
    <r>
      <rPr>
        <sz val="11"/>
        <color rgb="FF00B0F0"/>
        <rFont val="Calibri"/>
        <scheme val="minor"/>
      </rPr>
      <t>04.03: Doors delivery per VIGANO programme out of RPN control</t>
    </r>
  </si>
  <si>
    <t>18.02: Priorities :
- A.13 (high risk)
- CAR @LB01
- Salle C6 interpretor booth (Acoustic test)
- UNTV (Acoustic test)
- Corridors @ L05-L04-L03...
- Offices &amp; other rooms @ L05-L04-L03...
- Salon Tcheque, Council chamber</t>
  </si>
  <si>
    <t>LIFTS
- Planning</t>
  </si>
  <si>
    <t>02.10: INTERCOM to be GRANDSTREAM as approved on dwg.
26.11: EGL confirm T&amp;C of lift 6 by end of February
07.01: EGL will be back on site 26.01. works to be completed mid of February.
04.03: RPN has been out of site for 2 weeks</t>
  </si>
  <si>
    <t>03.09: SHP to comment
10.09: RPN to submit platform dwg
24.09: Preparatory works to start 02.10
07.01: RPN to update planning</t>
  </si>
  <si>
    <t>Gianluca Crippa</t>
  </si>
  <si>
    <t>LIFTS</t>
  </si>
  <si>
    <t>LIFT 5, 6, 23, Platform C6, C5</t>
  </si>
  <si>
    <t>17.12: Lift 6 strip out completed 
14.01: instalation to start 26.01
26.01: MAS has been R&amp;R</t>
  </si>
  <si>
    <r>
      <rPr>
        <sz val="11"/>
        <color rgb="FF000000"/>
        <rFont val="Calibri"/>
        <scheme val="minor"/>
      </rPr>
      <t xml:space="preserve">28.01: Works started. Material for lift has been received.
</t>
    </r>
    <r>
      <rPr>
        <sz val="11"/>
        <color rgb="FF00B0F0"/>
        <rFont val="Calibri"/>
        <scheme val="minor"/>
      </rPr>
      <t>11.02: RPN to check if Platform C5 is working</t>
    </r>
  </si>
  <si>
    <t>EMERGENCY LIGHT</t>
  </si>
  <si>
    <t>VAR 221</t>
  </si>
  <si>
    <r>
      <rPr>
        <sz val="11"/>
        <color rgb="FF000000"/>
        <rFont val="Calibri"/>
        <scheme val="minor"/>
      </rPr>
      <t xml:space="preserve">26.11: VAR was determined in summer 2024
Battery (Coffret Aprotec) have not been ordered (6 weeks lead time)
No time impact will be accepted
19.01: EGGTELSA is anylising qty issues
04.02: RPN submitted comments
</t>
    </r>
    <r>
      <rPr>
        <sz val="11"/>
        <color rgb="FF00B0F0"/>
        <rFont val="Calibri"/>
        <scheme val="minor"/>
      </rPr>
      <t>09.02: G&amp;T submitted assessment</t>
    </r>
  </si>
  <si>
    <r>
      <rPr>
        <sz val="11"/>
        <color rgb="FF000000"/>
        <rFont val="Calibri"/>
        <scheme val="minor"/>
      </rPr>
      <t xml:space="preserve">04.02: G&amp;T to assess
</t>
    </r>
    <r>
      <rPr>
        <strike/>
        <sz val="11"/>
        <color rgb="FF00B0F0"/>
        <rFont val="Calibri"/>
        <scheme val="minor"/>
      </rPr>
      <t>11.02: RPN to assess, 4 irelevant elements in balance. SHP to issue step 4</t>
    </r>
  </si>
  <si>
    <t>Clare O'Malley</t>
  </si>
  <si>
    <t>FIRE CURTAINS</t>
  </si>
  <si>
    <t>FIRE CURTAINS (8#)
- OIBT</t>
  </si>
  <si>
    <t>26.11: Fire curtains (8#) are critical for OIBT (linked to UPS)
07.01: Fire curtains installation to start 12.01
14.01: Fire curtains have not been delivered
11.02: Installation started at salon tcheque
18.02: other Fire curtain to be delivered 02.03. 2 days of work per curtain x 2 teams
04.03: to arrvie 05.03</t>
  </si>
  <si>
    <t>14.01: RPN to confirm delivery of fire curtains
21.01: RPN to confirm delivery of fire curtains
11.02: All curtain to be delivered 02.03
- RPN to confirm planning</t>
  </si>
  <si>
    <t>L05-L03</t>
  </si>
  <si>
    <t>Displays in meeting rooms
- VAR 478</t>
  </si>
  <si>
    <t xml:space="preserve">25.02: IT works to be completed.
25.02:  some TV to be delivered.
04.03: </t>
  </si>
  <si>
    <t xml:space="preserve">25.02: VAR 478 to be updated (TV size 65" = 75")
04.03: SHP to issue Revised step 4 - G&amp;T to assess </t>
  </si>
  <si>
    <t>L05</t>
  </si>
  <si>
    <t>WIFI</t>
  </si>
  <si>
    <t>30.09: Subcontractor is comming twice a year on site.
mitigation action have been required following physical site survey.</t>
  </si>
  <si>
    <t>30.09: Based on predictive site survey status R&amp;R.
New simulation to be run.
10.11: RPN consultant to run physical survey together with ICTS and modify WAPS configuration on the spots until the physical survey is agreed.</t>
  </si>
  <si>
    <t>Dragos Ionescu</t>
  </si>
  <si>
    <t>L04</t>
  </si>
  <si>
    <t>MEETING ROOM L05
- VAR 659 - Obsolete luminaires</t>
  </si>
  <si>
    <t xml:space="preserve">25.02: MAS of new Luminaires to be approved
04.03: </t>
  </si>
  <si>
    <t>04.03: SOMBP/ SHP to assess is luminaire can be descoped
09.03: SOMBP to issue VAR to descope luminaire</t>
  </si>
  <si>
    <t>L01</t>
  </si>
  <si>
    <t>SALON TCHEQUE
- Works</t>
  </si>
  <si>
    <t>07.01: Existing panel can be maintained
EGGTELSA is working in the BOH area
14.01: Fire curtains have not been received as planned.
04.02: Activities are longer than expected.
18.02: Fire curtains has been installed</t>
  </si>
  <si>
    <t>SALON TCHEQUE
- Back door entrance @L02</t>
  </si>
  <si>
    <t>23.02: Back door is an emergency exit.
See VIGANO above</t>
  </si>
  <si>
    <t>SALON TCHEQUE
- Temporary protection</t>
  </si>
  <si>
    <t>28.01: All protection to furnitures ansd floor have been removed
24.02: Protection have been installed</t>
  </si>
  <si>
    <t>28.01: RPN to clean and protect</t>
  </si>
  <si>
    <t>SALON TCHEQUE
- Relamping</t>
  </si>
  <si>
    <t>23.02: Light Tº are diferent (new and old)</t>
  </si>
  <si>
    <t>23.02: SHP to raise TCI</t>
  </si>
  <si>
    <t>Maximilien Montanaro</t>
  </si>
  <si>
    <t>SALON FRANCAIS
- Wall mounted lighting</t>
  </si>
  <si>
    <t>Check if wall mounted lights are in good conditions.
30.10: Assessment was partially made on site, 2 glass broken.</t>
  </si>
  <si>
    <r>
      <rPr>
        <sz val="11"/>
        <color rgb="FF000000"/>
        <rFont val="Calibri"/>
        <scheme val="minor"/>
      </rPr>
      <t xml:space="preserve">30.09: Works to be assessed during site visit
03.11: Condition report to be checked, (=&gt; NCF / INS?)
</t>
    </r>
    <r>
      <rPr>
        <sz val="11"/>
        <color rgb="FF00B0F0"/>
        <rFont val="Calibri"/>
        <scheme val="minor"/>
      </rPr>
      <t>Second assessment to be run</t>
    </r>
  </si>
  <si>
    <t>SALON FRANCAIS
- Damaged carpet</t>
  </si>
  <si>
    <r>
      <rPr>
        <sz val="11"/>
        <color rgb="FF000000"/>
        <rFont val="Calibri"/>
        <scheme val="minor"/>
      </rPr>
      <t xml:space="preserve">23.07: FLORENZ RAMSI will inspect on 07.08.
03.09: RPN received MOS from FLORENZ RAMSI
</t>
    </r>
    <r>
      <rPr>
        <sz val="11"/>
        <color rgb="FF00B0F0"/>
        <rFont val="Calibri"/>
        <scheme val="minor"/>
      </rPr>
      <t>25.02: Carpet is back on site</t>
    </r>
  </si>
  <si>
    <r>
      <rPr>
        <sz val="11"/>
        <color rgb="FF000000"/>
        <rFont val="Calibri"/>
        <scheme val="minor"/>
      </rPr>
      <t xml:space="preserve">30.04: RPN to propose a solution for reparation.
+ liaise with heritage specialist
03.09: RPN to submit MOS
</t>
    </r>
    <r>
      <rPr>
        <sz val="11"/>
        <color rgb="FF00B0F0"/>
        <rFont val="Calibri"/>
        <scheme val="minor"/>
      </rPr>
      <t>25.02: Carpet to be inspected</t>
    </r>
  </si>
  <si>
    <t>Andrea Hoffman</t>
  </si>
  <si>
    <t>SALLE 1
- Relamping</t>
  </si>
  <si>
    <t>21.01: Refer to MEP MoM.
28.01: recabling is ongoing.
28.01: 2 lamps went missing during the works (not produced any more)
18.02: MAS has been submitted (4000K)</t>
  </si>
  <si>
    <t>09.03: RPN to proceed</t>
  </si>
  <si>
    <t>SALLE 1
- NCF 380 Conditions AV equipment</t>
  </si>
  <si>
    <t>17.02: NCF 380 Salle 1 AV equipment conditions</t>
  </si>
  <si>
    <t>23.02: RPN to assess</t>
  </si>
  <si>
    <t>COUNCIL CHAMBER
- VAR 473 L02 SAS to council chamber</t>
  </si>
  <si>
    <t>03.10: SHP issued VAR Step 3 Rev 4 (painting of ceiling + emergency light product change)
15.10: RPN submitted updated cost proposal.
22.10: Ceiling have been removed, 1 ventilation duct have been found that do no comply with actual standard. SHP requested dwg to FMS. 
29.10: SHP will not instruct RPN to duct the plenum</t>
  </si>
  <si>
    <t>22.10: SHP to assess
29.10: RPN to issue an RFI for formal confirmation</t>
  </si>
  <si>
    <t>L02</t>
  </si>
  <si>
    <t>SAS to COUNCIL CHAMBER
- VAR 570 - LED to be integrated on the top of the frame</t>
  </si>
  <si>
    <t>22.10: RPN is reviewing with EGGTELSA.
10.11: Both SAS ceiling will be demolished (repainted in RAL), Walls to be repaired in false marble (D-PT-11). Doors with vision panels to receive D-PT-11 on coursive side, RAL 8008 on the SAS side. Handle and kick plate to be preserved. Oculus to be same size, centered.
28.01: All cost agreed
09.02: VAR step 1 has been issued
16.02: Step 3 has been issued</t>
  </si>
  <si>
    <t>09.02: RPN to issue step 2
23.02: RPN to issue commercial proposal</t>
  </si>
  <si>
    <t>COUNCIL CHAMBER
- VAR 625 - Electrical panel F15</t>
  </si>
  <si>
    <r>
      <rPr>
        <sz val="11"/>
        <color rgb="FF000000"/>
        <rFont val="Calibri"/>
        <scheme val="minor"/>
      </rPr>
      <t xml:space="preserve">14.01: AV issues to me moved to VAR 628
19.01: No issue on F15 panel due to AV equipments.
21.01: Panel will be delivered </t>
    </r>
    <r>
      <rPr>
        <sz val="11"/>
        <color rgb="FFFF0000"/>
        <rFont val="Calibri"/>
        <scheme val="minor"/>
      </rPr>
      <t xml:space="preserve">10.02
</t>
    </r>
    <r>
      <rPr>
        <sz val="11"/>
        <color rgb="FF000000"/>
        <rFont val="Calibri"/>
        <scheme val="minor"/>
      </rPr>
      <t xml:space="preserve">28.01: Installation has not started. 1 month lost.
</t>
    </r>
    <r>
      <rPr>
        <sz val="11"/>
        <color rgb="FF00B0F0"/>
        <rFont val="Calibri"/>
        <scheme val="minor"/>
      </rPr>
      <t>11.02: No blocking point. Missing manpower (agreement with RPN not found).
Cabling to be completed before moving the tables (3P is blocked).</t>
    </r>
  </si>
  <si>
    <r>
      <rPr>
        <sz val="11"/>
        <color rgb="FF000000"/>
        <rFont val="Calibri"/>
        <scheme val="minor"/>
      </rPr>
      <t xml:space="preserve">25.02: Works ongoing
</t>
    </r>
    <r>
      <rPr>
        <sz val="11"/>
        <color rgb="FF00B0F0"/>
        <rFont val="Calibri"/>
        <scheme val="minor"/>
      </rPr>
      <t>04.03: Final Inspection is planned for week 09.03
09.03: RPN to confirm readiness</t>
    </r>
  </si>
  <si>
    <t>COUNCIL CHAMBER
- Interpretor booth</t>
  </si>
  <si>
    <t>Perforation for new equipments to be confirmed on site
Site visit has been runed</t>
  </si>
  <si>
    <r>
      <rPr>
        <sz val="11"/>
        <color rgb="FF000000"/>
        <rFont val="Calibri"/>
        <scheme val="minor"/>
      </rPr>
      <t xml:space="preserve">30.09: Works to be assessed during site visit (26.11)
08.12: SHP to issue sketch, RPN to prepare mockup (with tape as in previous sections)
</t>
    </r>
    <r>
      <rPr>
        <sz val="11"/>
        <color rgb="FF00B0F0"/>
        <rFont val="Calibri"/>
        <scheme val="minor"/>
      </rPr>
      <t>23.02: If few sockets are missing, RPN to submit daywork RFI</t>
    </r>
  </si>
  <si>
    <t>COUNCIL CHAMBER
- WINDOW MOTORIZATION</t>
  </si>
  <si>
    <t>30.09: Upper windows have already been motorized.
19.11: delivery by mid january
28.01: Motors have been received
04.03: All motors have been installed. Upper part to be tested</t>
  </si>
  <si>
    <t>04.03: RPN to confirm installation</t>
  </si>
  <si>
    <t>COUNCIL CHAMBER
- TELEVIC inventory</t>
  </si>
  <si>
    <t>17.11: RPN have submitted the TELEVIC inventory, 20251117_SOMBP_SMW_TA - OVERALL TELEVIC INVENTORY
16.01: Comments issued on Bluebeam</t>
  </si>
  <si>
    <t>19.01: SHP/SOMBP to share comments
19.01: RPN to rebuild spare parts inventory</t>
  </si>
  <si>
    <t>COUNCIL CHAMBER
- CHAIRS VAR 40</t>
  </si>
  <si>
    <t>Some chairs to be repaired
28.01: Assessment have been done</t>
  </si>
  <si>
    <t>28.01: refurbishment is ongoing</t>
  </si>
  <si>
    <t>COUNCIL CHAMBER
- Accessibility tables</t>
  </si>
  <si>
    <t>15.12: tables to be modified for PMR
07.01: Table modification to be made on site
21.01: reposition by 16.02, adaptation by end of February
23.02: Works on going</t>
  </si>
  <si>
    <t>COUNCIL CHAMBER
- Temporary protection</t>
  </si>
  <si>
    <t>28.01: All protection to furnitures ansd floor have been removed
18.02: Protection has not be reinstalled</t>
  </si>
  <si>
    <t>COUNCIL CHAMBER
- VAR 399 Balustrade to coursive</t>
  </si>
  <si>
    <r>
      <rPr>
        <sz val="11"/>
        <color rgb="FF000000"/>
        <rFont val="Calibri"/>
        <scheme val="minor"/>
      </rPr>
      <t xml:space="preserve">04.02: RPN propose solution C from the VAR.
09.02: Site visite is scheduled 10.02.
</t>
    </r>
    <r>
      <rPr>
        <sz val="11"/>
        <color rgb="FFFF0000"/>
        <rFont val="Calibri"/>
        <scheme val="minor"/>
      </rPr>
      <t xml:space="preserve">11.02: Handrail do not comply with SIA standard.
</t>
    </r>
  </si>
  <si>
    <r>
      <rPr>
        <sz val="11"/>
        <color rgb="FF000000"/>
        <rFont val="Calibri"/>
        <scheme val="minor"/>
      </rPr>
      <t xml:space="preserve">04.02: RPN to confirm (refer to technical solution applied in Hall 14 mezzanine)
16.02: SOMBP to draft INS with improved design.
</t>
    </r>
    <r>
      <rPr>
        <sz val="11"/>
        <color rgb="FF00B0F0"/>
        <rFont val="Calibri"/>
        <scheme val="minor"/>
      </rPr>
      <t>04.03: RPN subcontractor to assess about feasability</t>
    </r>
  </si>
  <si>
    <t>COUNCIL CHAMBER
- VAR 539 conference door</t>
  </si>
  <si>
    <r>
      <rPr>
        <sz val="11"/>
        <color rgb="FF000000"/>
        <rFont val="Calibri"/>
        <scheme val="minor"/>
      </rPr>
      <t xml:space="preserve">04.03: VAR 539 step 3 Rev1 is under signature
06.03: Step 3 rev 1 has been issued
</t>
    </r>
    <r>
      <rPr>
        <sz val="11"/>
        <color rgb="FF00B0F0"/>
        <rFont val="Calibri"/>
        <scheme val="minor"/>
      </rPr>
      <t>09.03: Access control is being installed on both side of the door</t>
    </r>
  </si>
  <si>
    <r>
      <rPr>
        <sz val="11"/>
        <color rgb="FF000000"/>
        <rFont val="Calibri"/>
        <scheme val="minor"/>
      </rPr>
      <t xml:space="preserve">23.02: SHP to update VAR 539 including Council chamber doors
</t>
    </r>
    <r>
      <rPr>
        <sz val="11"/>
        <color rgb="FF00B0F0"/>
        <rFont val="Calibri"/>
        <scheme val="minor"/>
      </rPr>
      <t>0903: SHP to assess</t>
    </r>
  </si>
  <si>
    <t>COUNCIL CHAMBER
- LED Wall ventilation issue</t>
  </si>
  <si>
    <r>
      <rPr>
        <sz val="11"/>
        <color rgb="FF000000"/>
        <rFont val="Calibri"/>
        <scheme val="minor"/>
      </rPr>
      <t xml:space="preserve">26.02: Casing as been supplied w/o required perforations.
</t>
    </r>
    <r>
      <rPr>
        <sz val="11"/>
        <color rgb="FF00B0F0"/>
        <rFont val="Calibri"/>
        <scheme val="minor"/>
      </rPr>
      <t xml:space="preserve">04.03: Re-ordering the case may impact S.C.
</t>
    </r>
    <r>
      <rPr>
        <sz val="11"/>
        <color rgb="FFFF0000"/>
        <rFont val="Calibri"/>
        <scheme val="minor"/>
      </rPr>
      <t>04.03 COUNCIL CHAMBER is needed in June</t>
    </r>
  </si>
  <si>
    <t>26.02: RPN to reject delivery/ submit manufacturer warranties</t>
  </si>
  <si>
    <t>NCF 357
- AV cables quality</t>
  </si>
  <si>
    <t>24.11: RPN to comment</t>
  </si>
  <si>
    <t>Patrick Vogelsang</t>
  </si>
  <si>
    <t>STAIR 6 LIGHTING</t>
  </si>
  <si>
    <r>
      <rPr>
        <sz val="11"/>
        <color rgb="FF000000"/>
        <rFont val="Calibri"/>
        <scheme val="minor"/>
      </rPr>
      <t xml:space="preserve">17.12: installation +/- midle of march
21.01: Delivery by end of February/ begining of march
</t>
    </r>
    <r>
      <rPr>
        <sz val="11"/>
        <color rgb="FFFF0000"/>
        <rFont val="Calibri"/>
        <scheme val="minor"/>
      </rPr>
      <t>18.02: Lamps have been delivered, scaffold is under installation
23.02 Scafolds are in place
27.02: Wrong lighting has been sent</t>
    </r>
  </si>
  <si>
    <t>04.03: RPN to issue updated MAS</t>
  </si>
  <si>
    <t>L00</t>
  </si>
  <si>
    <t>UNTV
- Planning</t>
  </si>
  <si>
    <r>
      <rPr>
        <sz val="11"/>
        <color rgb="FF000000"/>
        <rFont val="Calibri"/>
        <scheme val="minor"/>
      </rPr>
      <t xml:space="preserve">14.01: Completion of the works by end of February
29.01: Move of equipement from Temporary to new studio: Monday 06.04
WHO/BIT start mid May. (Partial commissioning feasable before move)
Move = 2 to 3 days, commissioning = +/- 1week.
- 2 weeks move + commissioning
- 3 weeks training
- 1 week buffer
</t>
    </r>
    <r>
      <rPr>
        <sz val="11"/>
        <color rgb="FF00B0F0"/>
        <rFont val="Calibri"/>
        <scheme val="minor"/>
      </rPr>
      <t>16.02: Gonogo meeting will take place on 02.04.
1st slot to swap UNTV studio is 07.04 &lt; &lt; 12.05
2nd slot is 13.07 &lt; &lt; Tbc</t>
    </r>
  </si>
  <si>
    <r>
      <rPr>
        <sz val="11"/>
        <color rgb="FF000000"/>
        <rFont val="Calibri"/>
        <scheme val="minor"/>
      </rPr>
      <t xml:space="preserve">26.01: RPN to update planning
</t>
    </r>
    <r>
      <rPr>
        <sz val="11"/>
        <color rgb="FF00B0F0"/>
        <rFont val="Calibri"/>
        <scheme val="minor"/>
      </rPr>
      <t>18.02: T&amp;C to proceed as planned</t>
    </r>
  </si>
  <si>
    <t>UNTV
- Security</t>
  </si>
  <si>
    <t>07.11: Sensitive equipment will be soon installed in the studio</t>
  </si>
  <si>
    <t>07.11: [Post 12WLA] RPN to enhance security in UNTV as soon equipment will be in place.
17.11: door to dock 5 has not been secured yet.</t>
  </si>
  <si>
    <r>
      <rPr>
        <sz val="11"/>
        <color rgb="FF000000"/>
        <rFont val="Calibri"/>
        <scheme val="minor"/>
      </rPr>
      <t xml:space="preserve">UNTV 
- INS 544 Flash light + PA speaker
</t>
    </r>
    <r>
      <rPr>
        <sz val="11"/>
        <color rgb="FF00B0F0"/>
        <rFont val="Calibri"/>
        <scheme val="minor"/>
      </rPr>
      <t>- RFID 1489</t>
    </r>
  </si>
  <si>
    <t>19.11: Flash light / PA speaker missing in Studio
09.01: INS 544 has been submited by SOM
09.01: INS Issued
28.01: Scope is agreed but RPN price is outrageous</t>
  </si>
  <si>
    <r>
      <rPr>
        <sz val="11"/>
        <color rgb="FF000000"/>
        <rFont val="Calibri"/>
        <scheme val="minor"/>
      </rPr>
      <t xml:space="preserve">4.02: RPN to revise cost (Engineering)
</t>
    </r>
    <r>
      <rPr>
        <sz val="11"/>
        <color rgb="FFFF0000"/>
        <rFont val="Calibri"/>
        <scheme val="minor"/>
      </rPr>
      <t>11.02: EGGTELSA to proceed</t>
    </r>
  </si>
  <si>
    <t>UNTV
- Dust in CAR</t>
  </si>
  <si>
    <t>12.02: CAR</t>
  </si>
  <si>
    <t>16.02: NCF will be issued regarding dust in CAR</t>
  </si>
  <si>
    <t>AV display
- VAR 490</t>
  </si>
  <si>
    <r>
      <rPr>
        <sz val="11"/>
        <color rgb="FF000000"/>
        <rFont val="Calibri"/>
        <scheme val="minor"/>
      </rPr>
      <t xml:space="preserve">04.02: SHP to update VAR 490
</t>
    </r>
    <r>
      <rPr>
        <sz val="11"/>
        <color rgb="FFFF0000"/>
        <rFont val="Calibri"/>
        <scheme val="minor"/>
      </rPr>
      <t>09.03: Issue with Marble on C6 entrance</t>
    </r>
  </si>
  <si>
    <r>
      <rPr>
        <sz val="11"/>
        <color rgb="FF00B0F0"/>
        <rFont val="Calibri"/>
        <scheme val="minor"/>
      </rPr>
      <t xml:space="preserve">09.02: RPN to submit proposal (Concordia)
SHP to revise VAR (2 displays in Bldg.C 46" =&gt; 55")
</t>
    </r>
    <r>
      <rPr>
        <sz val="11"/>
        <color rgb="FFFF0000"/>
        <rFont val="Calibri"/>
        <scheme val="minor"/>
      </rPr>
      <t>09.03: SHP to assess definitive position</t>
    </r>
  </si>
  <si>
    <t>PRESS BAR - MEDIA CENTER AREA C.2.3
- VAR 649, (INS 524), 6# Optical Fiber conection</t>
  </si>
  <si>
    <t>10.10: 8 additional BNC sockets to be installed in Press bar Lake side windows
07.11: [Post 12WLA Note] SHP issued draft INS.
10.11: INS have been issued.
25.11: UNIS have approved the proposal as per INS 524.
03.12: RPN submited step 2, VAR requested
21.01: VAR step 1 has been issued
26.01: Step 1 has been submitted
29.01: Step 3 has been issued
11.02: rack for 2 converters to be located boths side of entrance C23
18.02: CDP contract for the broadcast, dwg are required for the IT part</t>
  </si>
  <si>
    <t>16.02 RPN to issue commercial proposal
23.02: RPN to issue commercial proposal
04.03: RPN to assess TIA</t>
  </si>
  <si>
    <t>PRESS BAR
- INS 512 TC3-C4-2 storage (VAR Canceled)</t>
  </si>
  <si>
    <t>18.02: Newly build partition to be demolished</t>
  </si>
  <si>
    <t xml:space="preserve">18.02: SHP to review INS, </t>
  </si>
  <si>
    <t>PRESS BAR
- Cingria mockup</t>
  </si>
  <si>
    <t>26.08: RPN to present a mockup (corner detail by VIGANO) + 1st installation as prototype
17.09: RPN to confirm 
24.09: mock up to be presented 10.10.
22.10: RPN to confirm mock up presentation
14.01: RPN to confirm mock up presentation
18.02: no date provided by RPN</t>
  </si>
  <si>
    <r>
      <rPr>
        <sz val="11"/>
        <color rgb="FF000000"/>
        <rFont val="Calibri"/>
        <scheme val="minor"/>
      </rPr>
      <t xml:space="preserve">28.01: Mockup is planned for the 9-10.02
18.02: SHP will request a visit to Vigano
25.02: Mockup to be presented 04.03.
</t>
    </r>
    <r>
      <rPr>
        <sz val="11"/>
        <color rgb="FF00B0F0"/>
        <rFont val="Calibri"/>
        <scheme val="minor"/>
      </rPr>
      <t>09.03: Cingria is expected for Monday 16.03.</t>
    </r>
  </si>
  <si>
    <t>PRESS BAR
- Kitchen equipment</t>
  </si>
  <si>
    <t>01.10: Equipment to be delivered mid November
15.12: delivery of Kitchen equipment has been posponed 
BAR will be delivered at the last minutes
28.01: Installation of equipment have not started</t>
  </si>
  <si>
    <t>07.01: ceramic tiles under installation.
Kitchen equipment instalation to start before end of Jan =&gt; 16.02</t>
  </si>
  <si>
    <t>PRESS BAR
- Furnitures</t>
  </si>
  <si>
    <r>
      <rPr>
        <sz val="11"/>
        <color theme="1"/>
        <rFont val="Calibri"/>
        <family val="2"/>
        <scheme val="minor"/>
      </rPr>
      <t>08.12: Enamelled CP tables to be restored (surface repair), heightened (leg extension?) + protective glass to be added on top
19.01: Dwg approved as noted</t>
    </r>
  </si>
  <si>
    <t>PRESS BAR
- Toilets</t>
  </si>
  <si>
    <t>01.10: Toilets have been completed with C status.</t>
  </si>
  <si>
    <t>01.10: RPN/ SOMBP to inspect</t>
  </si>
  <si>
    <t>PRESS BAR
- VAR 569 Water Fountain</t>
  </si>
  <si>
    <t>21.10: Step 4 has been issued
04.03: No water fountain to be installed</t>
  </si>
  <si>
    <t>UBS
- Autorization to operate</t>
  </si>
  <si>
    <t>08.05: UBS asked if they could officially be in the building right after Substantial completion</t>
  </si>
  <si>
    <t>08.05: SHP to confirm if UBS can start pperation after substantial completion</t>
  </si>
  <si>
    <t>Didier Chessel</t>
  </si>
  <si>
    <t>UBS
- Remaining works</t>
  </si>
  <si>
    <r>
      <rPr>
        <sz val="11"/>
        <color rgb="FF000000"/>
        <rFont val="Calibri"/>
        <scheme val="minor"/>
      </rPr>
      <t xml:space="preserve">09.10: UBS to come back on site by the end of February
</t>
    </r>
    <r>
      <rPr>
        <sz val="11"/>
        <color rgb="FF00B0F0"/>
        <rFont val="Calibri"/>
        <scheme val="minor"/>
      </rPr>
      <t xml:space="preserve">04.03: DI cables have been installed
04.03: PA cable will be pulled this week. </t>
    </r>
  </si>
  <si>
    <t>09.10: SHP to confirm date when site condition will allow UBS to start completing works.</t>
  </si>
  <si>
    <t>UBS
- Dedicated FIBER</t>
  </si>
  <si>
    <t>15.10: Federica email has been answered
10.11: UBS will have its own Fiber with dedicated provider (from T.17)
03.12: RPN is blocking the execution</t>
  </si>
  <si>
    <t>10.11: SHP/ RPN to check UBS IT dwg.
In case unforeseen complication, alternative to be found.
03.12: RPN to clarify commercial position</t>
  </si>
  <si>
    <t>UBS
- Automated windows</t>
  </si>
  <si>
    <t>25.11: UBS equiped with double flow ventilation.
UBS required all windows to be locked.</t>
  </si>
  <si>
    <t>25.11: RPN to ensure windows can not be opened
Windows are linked to smoke exhaust?</t>
  </si>
  <si>
    <t>INS 512
- TC3 storage partition</t>
  </si>
  <si>
    <t>11.02: INS has been canceled.
11.02: specialist to confirm potential normative issues
if wall is not compliant. wall to be demolished.</t>
  </si>
  <si>
    <t>11.02: RPN to submit RFI if any normative issue</t>
  </si>
  <si>
    <t>LB01</t>
  </si>
  <si>
    <t>SALLE C6
- Interpretor booth</t>
  </si>
  <si>
    <t>11.02: Vibrasto installation started
18.02: Ceiling to be completed next week</t>
  </si>
  <si>
    <t>18.02: Acoustic test to be launched as soon the doors have been installed</t>
  </si>
  <si>
    <t>SALLE C6
- Furniture</t>
  </si>
  <si>
    <t>11.02: Furniture supplier to arrive begining of march</t>
  </si>
  <si>
    <t>25.02: Benchmark to be presented +/- 04.03.</t>
  </si>
  <si>
    <t>SALLE C6
- Chinese donation delivery</t>
  </si>
  <si>
    <t>14.01: Shipment of lighting and mosaic is foreseen early feb.
delivery mid-end of february</t>
  </si>
  <si>
    <t>14.01: RPN to schedule installation of lightings</t>
  </si>
  <si>
    <t>SALLE C6
- Implementation of Chinese donation electrical devices</t>
  </si>
  <si>
    <t>04.03: SHP wonder that ELECTRICAL dwg have not been updated with chinese donation devices</t>
  </si>
  <si>
    <t xml:space="preserve">04.03: </t>
  </si>
  <si>
    <t>SALLE C6
- Stretch Ceiling in staircase</t>
  </si>
  <si>
    <t>24.02: VAR 568 Salle C6 - access stair Emergency Lighting is on the way</t>
  </si>
  <si>
    <t>21.01: SHP to send an email to RPN confirming to go ahead with TD
SHP to issue INS confirming new position of emergency light</t>
  </si>
  <si>
    <t>Salle C6
- VAR 658 - Emergency light in staircase</t>
  </si>
  <si>
    <t>25.02: 3 additional Emergency lights have to be modified</t>
  </si>
  <si>
    <t>25.02: SHP to issue VAR
09.03: APROTEC to propose new model</t>
  </si>
  <si>
    <t>Salle C6
- F. Brunome querries</t>
  </si>
  <si>
    <t>26.02: T23 / T13 sockets / RJ45 / KNX push buton.</t>
  </si>
  <si>
    <t>26.02: SHP to assess</t>
  </si>
  <si>
    <t>BMS
- RFI 1421-C, panel TC.1.04</t>
  </si>
  <si>
    <t>29.10: RFI 1421-A, B, C have been rejected</t>
  </si>
  <si>
    <t>29.10: RPN to submit RFI 1421-D</t>
  </si>
  <si>
    <t>LB02</t>
  </si>
  <si>
    <t>BMS
- Funccional Analisis
- Wiring Diagram
- Schematic</t>
  </si>
  <si>
    <t>08.10: Commercial issue Between Energie Management &amp; RPN
22.10: Funccional analisis have been confidentially shared.
30.10: SHP submitted comments.
19.11: SHP commented dwgs
26.11: Johnson control ready to restart
03.12: Commercial issues with ENERGY MANAGEMENT have been solved.
03.12: RPN submitted functional analysis</t>
  </si>
  <si>
    <t>07.01: RPN to resubmit the wiring diagram</t>
  </si>
  <si>
    <t>BMS
- Planning</t>
  </si>
  <si>
    <r>
      <rPr>
        <sz val="11"/>
        <color rgb="FF000000"/>
        <rFont val="Calibri"/>
        <scheme val="minor"/>
      </rPr>
      <t xml:space="preserve">03.12: EGGTELSA face commercial issues with ENERGY MANAGEMENT
Schematic will be submited in January =&gt; Bdg. C S.C., postponed to +/- June
10.12: EGGTELSA proceeding w/o ENERGY MANAGEMENT
</t>
    </r>
    <r>
      <rPr>
        <sz val="11"/>
        <color rgb="FFFF0000"/>
        <rFont val="Calibri"/>
        <scheme val="minor"/>
      </rPr>
      <t>07.01: EGGTELSA submitted planing =&gt; 15.09.26!
11.02: EGGTELSA has all documents in hand</t>
    </r>
  </si>
  <si>
    <t>26.02: Works ongoing</t>
  </si>
  <si>
    <t>BMS PANELS
- Procurement</t>
  </si>
  <si>
    <t>03.12: [Lucille email] 5 are missing, including the most critical ones for ventilation and smoke extraction.
10.12: 1 Panel to be received in december, 4 panels in January
17.12: 1 Panel to be received in december, 1 panel begining of January, 2 panels in february, 1 panel by the begining of march.
17.12: Last panel (smoke exhaust) to be received by the end of March.</t>
  </si>
  <si>
    <t xml:space="preserve">
</t>
  </si>
  <si>
    <t>Permanent Fire closure INS 541</t>
  </si>
  <si>
    <t>12.02: Inspection are ongoing</t>
  </si>
  <si>
    <t>12.02: RPN to involve SBIS in the inspections</t>
  </si>
  <si>
    <t>Olivier Zuercher</t>
  </si>
  <si>
    <t>Temporary Fire closure INS 545
- RPN temp. High Voltage cable is on future escape route</t>
  </si>
  <si>
    <r>
      <rPr>
        <sz val="11"/>
        <color rgb="FF000000"/>
        <rFont val="Calibri"/>
        <scheme val="minor"/>
      </rPr>
      <t xml:space="preserve">11.12: temporary Fire compartition required before SC
26.01: Step 1 has been issued
</t>
    </r>
    <r>
      <rPr>
        <sz val="11"/>
        <color rgb="FF00B0F0"/>
        <rFont val="Calibri"/>
        <scheme val="minor"/>
      </rPr>
      <t>06.02: Step 2 has been issued. VAR is requested.</t>
    </r>
  </si>
  <si>
    <t xml:space="preserve">12.02: as per Schedule 3 Chapter 17 – Business Continuity
Part 3, Paragraph 3.1.C., </t>
  </si>
  <si>
    <t>INS 543 - VAR 651
- SSS Village supply</t>
  </si>
  <si>
    <t>02.02: VAR has been sent on signature
11.02: dismantling of 2km cabling is urgent before ceiling will be closed</t>
  </si>
  <si>
    <t>04.03: G&amp;T to assess</t>
  </si>
  <si>
    <t>ARCHIVES
- VAR 659 - C009.1, 9.2, 9.3, 9.4</t>
  </si>
  <si>
    <r>
      <rPr>
        <sz val="11"/>
        <color rgb="FF000000"/>
        <rFont val="Calibri"/>
        <scheme val="minor"/>
      </rPr>
      <t xml:space="preserve">01.12: TD to be implemented in C-00-M9-1, C-00-M9-2, C-00-M9-3, C-00-M9-4
04.12: Remaining works:
- Electrical works (Power, Cable trays, Smokes + fire detection, emergency lights, lights).
=&gt; Works duration +/- 1 month
09.02: EGGTELSA 
26.02: Second part of Archive to be inspected
</t>
    </r>
    <r>
      <rPr>
        <sz val="11"/>
        <color rgb="FF00B0F0"/>
        <rFont val="Calibri"/>
        <scheme val="minor"/>
      </rPr>
      <t>04.03: Relamping to be discussed</t>
    </r>
  </si>
  <si>
    <r>
      <rPr>
        <sz val="11"/>
        <color rgb="FF000000"/>
        <rFont val="Calibri"/>
        <scheme val="minor"/>
      </rPr>
      <t xml:space="preserve">01.12: SHP/ RPN to review TD
04.12: RPN/ SHP to chalenge the design:
- are all cable trays necessary?
- can cables trays been relocated to position of easier installation?
RPN to start begining of January
09.02: RPN to submit Value Engineering
26.02: SHP to liaise visit to LB2 / second part of archives (Ivan + Cedric + Hacir).
</t>
    </r>
    <r>
      <rPr>
        <sz val="11"/>
        <color rgb="FF00B0F0"/>
        <rFont val="Calibri"/>
        <scheme val="minor"/>
      </rPr>
      <t>03.03: SOMBP/ SHP to assess, INS to be raised</t>
    </r>
  </si>
  <si>
    <t>ARCHIVES MAG 10
- Floor finishes TCI</t>
  </si>
  <si>
    <t>19.01: SHP to raise TCI</t>
  </si>
  <si>
    <t>EVACUATION RAMP
- Floor finishes TCI</t>
  </si>
  <si>
    <t>Samuel Wilson</t>
  </si>
  <si>
    <t>ARCHIVES LB1-LB2-LB3
- VAR 581 Floor finishes</t>
  </si>
  <si>
    <t>Linoleum is forcasted at level B3-B2-B1. It clashed with some doors
03.11: Step 1 issued on signature
26.01: Step 3 has been issued</t>
  </si>
  <si>
    <t>26.01: RPN to issue commercial proposal/
RPN to proceed with works</t>
  </si>
  <si>
    <t>S1 - LB02</t>
  </si>
  <si>
    <t>BUILDING S1 LB02
- VAR 538 - Bldg S1 Basement Archive Security review</t>
  </si>
  <si>
    <t>26.01: Security / 2 doors / CCTV to be completed</t>
  </si>
  <si>
    <r>
      <rPr>
        <sz val="11"/>
        <color rgb="FF000000"/>
        <rFont val="Calibri"/>
        <scheme val="minor"/>
      </rPr>
      <t xml:space="preserve">21.01: RPN to complete works.
28.01: RPN to confirm Wooden door delivery
</t>
    </r>
    <r>
      <rPr>
        <sz val="11"/>
        <color rgb="FF00B0F0"/>
        <rFont val="Calibri"/>
        <scheme val="minor"/>
      </rPr>
      <t>04.02: RPN to issue commenrcial proposal</t>
    </r>
  </si>
  <si>
    <t>BUILDING S1 LB02
- VAR 557 - Bldg S1 - Minor security changes in Basement 2</t>
  </si>
  <si>
    <t>05.11: Commercial proposal has been received and commented</t>
  </si>
  <si>
    <t>18.02: RPN to comment URGENTLY</t>
  </si>
  <si>
    <t>BUILDING S1 LB02
- VAR 660 - Bldg S1 - Bulletproof partition</t>
  </si>
  <si>
    <t>04.03: SHP to raise VAR</t>
  </si>
  <si>
    <t>C_3</t>
  </si>
  <si>
    <t>TESTING &amp; COMMISSIONING</t>
  </si>
  <si>
    <t>T&amp;C</t>
  </si>
  <si>
    <t>Phase 14 - Section of work</t>
  </si>
  <si>
    <r>
      <rPr>
        <sz val="11"/>
        <color rgb="FF000000"/>
        <rFont val="Calibri"/>
        <family val="2"/>
        <scheme val="minor"/>
      </rPr>
      <t xml:space="preserve">12.01: </t>
    </r>
    <r>
      <rPr>
        <b/>
        <sz val="11"/>
        <color rgb="FF000000"/>
        <rFont val="Calibri"/>
        <family val="2"/>
        <scheme val="minor"/>
      </rPr>
      <t xml:space="preserve">Handed over with C:
</t>
    </r>
    <r>
      <rPr>
        <sz val="11"/>
        <color rgb="FF000000"/>
        <rFont val="Calibri"/>
        <family val="2"/>
        <scheme val="minor"/>
      </rPr>
      <t xml:space="preserve">- Bldg. S1 - LB1 (ready)
- Bldg. D - LB1 (ready, VAR 488 trench to S2 will be handed over later)
- Bldg. D - L00, handle to be changed on EI30 door
- Bldg. D - L00 Entrance A.15 (linked to move from Palais Wilson)
</t>
    </r>
    <r>
      <rPr>
        <b/>
        <sz val="11"/>
        <color rgb="FF000000"/>
        <rFont val="Calibri"/>
        <family val="2"/>
        <scheme val="minor"/>
      </rPr>
      <t xml:space="preserve">Handed over at a later stage:
</t>
    </r>
    <r>
      <rPr>
        <sz val="11"/>
        <color rgb="FF000000"/>
        <rFont val="Calibri"/>
        <family val="2"/>
        <scheme val="minor"/>
      </rPr>
      <t>Bldg. S1 - LB2 =&gt; handed over with S2
Bldg. A - LB1 VAR 101
Bldg. A - LB1 Hervé workshop
Bldg.A - LB1 &amp; 2 corridor to CAF</t>
    </r>
  </si>
  <si>
    <t>12.01: Eneor to reopen Bldg. S1 T&amp;C</t>
  </si>
  <si>
    <t>Annex leader</t>
  </si>
  <si>
    <t>12.01: SOMBP to confirm annex leader</t>
  </si>
  <si>
    <t>T&amp;C
- L05</t>
  </si>
  <si>
    <t>INSPECTION
- MEP closure</t>
  </si>
  <si>
    <t>30.09: MEP fire closure to be checked</t>
  </si>
  <si>
    <t>INSPECTION
- Elec</t>
  </si>
  <si>
    <t>30.09: Final inspection ongoing on the corridor and external rooms
Completion after window frame instalation
05.11: Activity will be completed by the end of december
18.02: RPN to rush completing L02 &amp; L03 allowing Final Inspection to proceed</t>
  </si>
  <si>
    <t>11.02: SHP wil run pre-inspection visit on Thursday Friday to confirm works are ready for Final Inspections.</t>
  </si>
  <si>
    <t>FAR</t>
  </si>
  <si>
    <t>04.02: 30% of doors are not installed
11.02: No furniture in the print shop, neither in the pantry.
+/- 60% of the area can be inspected
18.02: 50% of L05 FAR took 9h</t>
  </si>
  <si>
    <t>04.02: Intention is to perform partial architectural review / FAR.
11.02: SHP wil run pre-inspection visit on Thursday Friday to confirm works are ready for Final Inspections.
11.02: Pre-inspection to be run Monday 16.02</t>
  </si>
  <si>
    <t>T&amp;C
- Plan</t>
  </si>
  <si>
    <t>T&amp;C plan</t>
  </si>
  <si>
    <t>03.09: T&amp;C planning have been updated. Substantial completion by end of january.
17.09: RPN send Switch configuration
IT room site visit planned 1st week of october</t>
  </si>
  <si>
    <t>20.08: RPN to submit T&amp;C plan [Eneor]
10.09: RPN to submit PRIMAVERA schedule &amp; protocols
02.10: RPN to organise a workshop +/- 15.10</t>
  </si>
  <si>
    <t>T&amp;C
- LB01</t>
  </si>
  <si>
    <t>IT Room
- TCI_12109 Incorect optical fiber links</t>
  </si>
  <si>
    <t>11.11: TCI has been opened regarding recabling between C and S.</t>
  </si>
  <si>
    <t>T&amp;C
- L01</t>
  </si>
  <si>
    <t>FLUKE Test</t>
  </si>
  <si>
    <t>30.09: FLUKE test will be mandatory</t>
  </si>
  <si>
    <t>COUNCIL CHAMBER 
- F15 Panel</t>
  </si>
  <si>
    <t>16.10: turn on by mid January,
prefunctional test begining of February
Functional test mid February - early March
18.02: F15 pannel has been delivered</t>
  </si>
  <si>
    <t>11.02: Panel to be received this week. No consequence on Substantial Completion</t>
  </si>
  <si>
    <t>FIRE POLICE</t>
  </si>
  <si>
    <t>16.10: end of march
26.11: begining of march</t>
  </si>
  <si>
    <t>16.10 RPN to identify Fire related test on the board</t>
  </si>
  <si>
    <t>AHU</t>
  </si>
  <si>
    <t>16.10 Prefunctional test completed begining of january
Completion for Mechanical Functional test mid january</t>
  </si>
  <si>
    <t xml:space="preserve">LIFT 5, 6, 23, </t>
  </si>
  <si>
    <t>16.10: Test to start begining of December</t>
  </si>
  <si>
    <t>16.10 RPN to build buffer on the keys topic</t>
  </si>
  <si>
    <t>OMM</t>
  </si>
  <si>
    <t>16.10: 1 OMM to be submited prior to Substantial completion</t>
  </si>
  <si>
    <t>16.10: RPN to fix milestones &amp; dead line</t>
  </si>
  <si>
    <t>PMP</t>
  </si>
  <si>
    <t>16.10: 1 PMP to be submited prior to Substantial completion</t>
  </si>
  <si>
    <t>TRAINING</t>
  </si>
  <si>
    <t>16.10: 1 training to be submited prior to Substantial completion
16.10: +/- 2 to 3 weeks training sessions</t>
  </si>
  <si>
    <t>AS BUILD</t>
  </si>
  <si>
    <t>16.10: 1 Asbuild to be submited prior to Substantial completion</t>
  </si>
  <si>
    <t>UNTV</t>
  </si>
  <si>
    <t>07.01: CAR to be completed mid January
Edit &amp; Control room to be completed end of january (consol &amp; cabling)
Studio to be completed en of February.
PFP planned for end of February
21.01: T&amp;C planning focus meeting to be organised 29.01
Final migration to be planned</t>
  </si>
  <si>
    <t>07.01: RPN to submit PFP ASAP</t>
  </si>
  <si>
    <t>Abigail Abraham</t>
  </si>
  <si>
    <t>PMP submital</t>
  </si>
  <si>
    <t>07.01: ENERGY Management is working on it.
21.01; PMP will be submited by mid February
26.01: PMP, ENEOR to provide 80% of PMP based on phase 6 dwg within 09.02</t>
  </si>
  <si>
    <t>26.01: RPN to ensure 80% of PMP are submited by 09.02.</t>
  </si>
  <si>
    <t>Training</t>
  </si>
  <si>
    <t xml:space="preserve">Training, ENEOR sent email, </t>
  </si>
  <si>
    <t>26.01: ENEOR to confirm Training organisation</t>
  </si>
  <si>
    <t>21.01: FAR will take +/- 2days per floor for Level 5-4-3</t>
  </si>
  <si>
    <t>21.01: RPN / SHP to speedup Final inspection</t>
  </si>
  <si>
    <t>C_4</t>
  </si>
  <si>
    <t>NCF</t>
  </si>
  <si>
    <t>NCF 379</t>
  </si>
  <si>
    <t>RADIATOR
- Final inspection NCF 379 and Functional test</t>
  </si>
  <si>
    <t>04.02: remedial works can not been achieved before begining of may.
FAR will not be achieved before all remedials works have been completed
25.02: FT completed</t>
  </si>
  <si>
    <t>04.02: Final inspection and Functional test to be performed as scheduled</t>
  </si>
  <si>
    <t>NCF 367</t>
  </si>
  <si>
    <t xml:space="preserve">FIRE ENCLOSURE - VAR 644
- NCF 367 (general NCF) INS 518 </t>
  </si>
  <si>
    <t>22.10: gap between existig FR wall and slab to be sealed
29.10: general agreement
- Holes &lt; 5mm do not requires FR sealing
- Holes drilled by RPN to be  closed
- Unexpected situation
10.12: Fire closure will be performed in January
26.01: Works ongoing
04.02: Completed for level 5-4-3
Level 2 Council chambe to be treated
25.02: Level 1 is ongoing</t>
  </si>
  <si>
    <r>
      <rPr>
        <sz val="11"/>
        <color rgb="FF000000"/>
        <rFont val="Calibri"/>
        <scheme val="minor"/>
      </rPr>
      <t xml:space="preserve">26.01: 2 more issue on level 1, RPN to confirm
04.02: RPN to ensure SBIS participate to site visite
25.02: Final visit to be organised +/- 9.03
</t>
    </r>
    <r>
      <rPr>
        <sz val="11"/>
        <color rgb="FF00B0F0"/>
        <rFont val="Calibri"/>
        <scheme val="minor"/>
      </rPr>
      <t>04.03: RPN to confirm SBIS availability for next week test</t>
    </r>
  </si>
  <si>
    <t>NCF 382</t>
  </si>
  <si>
    <t>WINDOWS</t>
  </si>
  <si>
    <t>04.03: CIMAN will visite the site on 04.03</t>
  </si>
  <si>
    <t>04.03: RPN to assess the situation following manufacturer site visit.</t>
  </si>
  <si>
    <t>NCF 383</t>
  </si>
  <si>
    <t>TRAVERTINE WALL COVERING</t>
  </si>
  <si>
    <t xml:space="preserve">04.03: SOMBP to raise </t>
  </si>
  <si>
    <t>C_5</t>
  </si>
  <si>
    <t>Bldg.C BLOCKING POINT</t>
  </si>
  <si>
    <t>VARIATIONS</t>
  </si>
  <si>
    <t>01.10: 60 completed
100 to be completed
20 under commercial negociation</t>
  </si>
  <si>
    <t>DWG with R&amp;R status</t>
  </si>
  <si>
    <t>11% of dwg under R&amp;R
- AV
- Council chamber
- UNTV
- Salle C6</t>
  </si>
  <si>
    <t>DWG to be issued</t>
  </si>
  <si>
    <t>45 - 50 dwg to be submited
BMS / Fire matrx / Platform C6</t>
  </si>
  <si>
    <t xml:space="preserve">01.10: </t>
  </si>
  <si>
    <t>Comissioning plan</t>
  </si>
  <si>
    <t>Switch delivery</t>
  </si>
  <si>
    <t>11.11: [Dragos] Pending the end of the works in BTR.C (no date foreseen).  The switches are ready for the handover.</t>
  </si>
  <si>
    <t xml:space="preserve">01.10: needed by mid November
</t>
  </si>
  <si>
    <t>CHANGE MANAGEMENT</t>
  </si>
  <si>
    <t>Variation #</t>
  </si>
  <si>
    <t>Variation Name</t>
  </si>
  <si>
    <t>Section</t>
  </si>
  <si>
    <t>Administrative Status of the Variations (Agreed / Determined, Cancelled, In Progress, To be issued)</t>
  </si>
  <si>
    <t>Critical</t>
  </si>
  <si>
    <t>R-VAR-0017</t>
  </si>
  <si>
    <t>SECURITY REVOLVING DOORS AND LOCKDOWN (PMI 026-027)</t>
  </si>
  <si>
    <t>ALL</t>
  </si>
  <si>
    <t>Agreed / Detemined</t>
  </si>
  <si>
    <t>R-VAR-0025</t>
  </si>
  <si>
    <t>POSTAL SMART LOCKERS (PMI 031) (SSet 344)</t>
  </si>
  <si>
    <t>S1/C/AC/B</t>
  </si>
  <si>
    <t>R-VAR-0031</t>
  </si>
  <si>
    <t>GLAZED PARTITIONS FIRE RESISTANCE (SSet 327)</t>
  </si>
  <si>
    <t>R-VAR-0034</t>
  </si>
  <si>
    <t>DOOR UPDATE BUILDINGS AC, B, S (SSet 323)</t>
  </si>
  <si>
    <t>R-VAR-0040</t>
  </si>
  <si>
    <t>RESTAURATION OF HERITAGE FURNITURE (prov sum release)</t>
  </si>
  <si>
    <t>R-VAR-0051</t>
  </si>
  <si>
    <t>FIRE SUPPRESSION SYSTEM  (prov sum adjustement)</t>
  </si>
  <si>
    <t>R-VAR-0062</t>
  </si>
  <si>
    <t>REPLACEMENT OF ASCENDER BY AQUILON</t>
  </si>
  <si>
    <t>R-VAR-0063</t>
  </si>
  <si>
    <t>AH Interpreter Booth Changes - Equipment</t>
  </si>
  <si>
    <t>R-VAR-0072</t>
  </si>
  <si>
    <t>AV BC INFRASTR OPTIMISATION (PMI 030)</t>
  </si>
  <si>
    <t>R-VAR-0077</t>
  </si>
  <si>
    <t>AV MODIFS FOR SECTION C</t>
  </si>
  <si>
    <t>R-VAR-0084</t>
  </si>
  <si>
    <t>NEW GENERATION BADGE READERS</t>
  </si>
  <si>
    <t>R-VAR-0089</t>
  </si>
  <si>
    <t>HVAC CHANGES SALLE C6, TV STUDIO AND ATTENUATORS</t>
  </si>
  <si>
    <t>R-VAR-0097</t>
  </si>
  <si>
    <t>POTABILITY TEST</t>
  </si>
  <si>
    <t>R-VAR-0103</t>
  </si>
  <si>
    <t>AV DN NETWORK AND ANTENNA</t>
  </si>
  <si>
    <t>R-VAR-0115</t>
  </si>
  <si>
    <t>ADDITIONAL ELEC/ICT SOCKETS IN CONF ROOMS (other Sections)</t>
  </si>
  <si>
    <t>A/AB/C</t>
  </si>
  <si>
    <t>R-VAR-0123</t>
  </si>
  <si>
    <t>UNTV CEILING AMENDMENTS</t>
  </si>
  <si>
    <t>R-VAR-0127</t>
  </si>
  <si>
    <t>ANTI-INTRUSION SYSTEM</t>
  </si>
  <si>
    <t>B/E/S1/C</t>
  </si>
  <si>
    <t>R-VAR-0129</t>
  </si>
  <si>
    <t>AB AC CEILING INTERPRETER BOOTHS CORRIDORS AND FOYER SALLE III</t>
  </si>
  <si>
    <t>R-VAR-0137</t>
  </si>
  <si>
    <t>WINDOW OPENING LIMITERS</t>
  </si>
  <si>
    <t>R-VAR-0140</t>
  </si>
  <si>
    <t>ADDITIONAL FIRE EXTINGUISHERS BLDG A AND AC</t>
  </si>
  <si>
    <t>R-VAR-0146</t>
  </si>
  <si>
    <t>BLDG C MC6 NEW CAR LOAD</t>
  </si>
  <si>
    <t>R-VAR-0167</t>
  </si>
  <si>
    <t>UPPER WINDOW MOTORIZATION</t>
  </si>
  <si>
    <t>R-VAR-0168</t>
  </si>
  <si>
    <t>BLDG C - UNTV CAR COOLING</t>
  </si>
  <si>
    <t>R-VAR-0170</t>
  </si>
  <si>
    <t>NEW DOOR FOR SALON TCHEQUE ET SLOVAQUE</t>
  </si>
  <si>
    <t>R-VAR-0173</t>
  </si>
  <si>
    <t>OVERALL BROADCAST (BROADCAST, LIGHTING AND SERVICES INCLUDED)</t>
  </si>
  <si>
    <t>B/C</t>
  </si>
  <si>
    <t>R-VAR-0175</t>
  </si>
  <si>
    <t>RAINWATER DRAINAGE CAR PARK P3</t>
  </si>
  <si>
    <t>R-VAR-0193</t>
  </si>
  <si>
    <t>BLDG A/AB TOILET CEILING CHANGES</t>
  </si>
  <si>
    <t>R-VAR-0205</t>
  </si>
  <si>
    <t>SALLE IV HEATING AND COOLING</t>
  </si>
  <si>
    <t>R-VAR-0220</t>
  </si>
  <si>
    <t>BLDGS AB &amp; C VOLT DROP</t>
  </si>
  <si>
    <t>R-VAR-0221</t>
  </si>
  <si>
    <t>EMERGENCY SIGNAGE AND LIGHTING UPDATE C</t>
  </si>
  <si>
    <t>R-VAR-0233</t>
  </si>
  <si>
    <t>EVACUATION PLANS DRAWINGS AND INSTALLATION</t>
  </si>
  <si>
    <t>R-VAR-0236</t>
  </si>
  <si>
    <t>HALL C - ENTRANCE C6 MODIFICATIONS</t>
  </si>
  <si>
    <t>R-VAR-0240</t>
  </si>
  <si>
    <t>NEW FIRE DOORS BLDG A, AB, AC, B, C, S1, S2</t>
  </si>
  <si>
    <t>R-VAR-0243</t>
  </si>
  <si>
    <t>FIRE DETECTION SKYLIGHTS BLDG B and C</t>
  </si>
  <si>
    <t>C/B</t>
  </si>
  <si>
    <t>R-VAR-0255</t>
  </si>
  <si>
    <t>ELECTRICAL SUPPLIES FOR SMOKE EXTRACTION INSTALLATIONS</t>
  </si>
  <si>
    <t>A/C/B</t>
  </si>
  <si>
    <t>R-VAR-0260</t>
  </si>
  <si>
    <t>BLDGS A / AB / C - INTERPRETER BOOTHS ACOUSTICS</t>
  </si>
  <si>
    <t>R-VAR-0261</t>
  </si>
  <si>
    <t>BLDGS A / AB / C - INTERPRETER BOOTHS INTERIOR FITOUT CHANGES</t>
  </si>
  <si>
    <t>R-VAR-0274</t>
  </si>
  <si>
    <t>BLDG C PANTRY RISER AND RADIATOR RELOCATION PANTRY C.107</t>
  </si>
  <si>
    <t>R-VAR-0292</t>
  </si>
  <si>
    <t>LIGHTNING PROTECTION MODIFICATIONS (CDP)</t>
  </si>
  <si>
    <t>Delay</t>
  </si>
  <si>
    <t>R-VAR-0294</t>
  </si>
  <si>
    <t>LOCKING SYSTEM FOR EXISTING DOORS ON ESCAPE ROUTES</t>
  </si>
  <si>
    <t>R-VAR-0311</t>
  </si>
  <si>
    <t>BMS AFTERCARE SERVICES</t>
  </si>
  <si>
    <t>To be issued</t>
  </si>
  <si>
    <t>R-VAR-0313</t>
  </si>
  <si>
    <t>BMS SUPERVISION WITH NIAGARA TRIDIUM</t>
  </si>
  <si>
    <t>R-VAR-0320</t>
  </si>
  <si>
    <t>MASTERKEY STRATEGY</t>
  </si>
  <si>
    <t>S1/C</t>
  </si>
  <si>
    <t>In Progress</t>
  </si>
  <si>
    <t>R-VAR-0336</t>
  </si>
  <si>
    <t>BMS INTEGRATION OF DHW CIRCULATION PUMPS</t>
  </si>
  <si>
    <t>R-VAR-0343</t>
  </si>
  <si>
    <t>PERIPHERAL DOORS ASSESSMENT</t>
  </si>
  <si>
    <t>R-VAR-0355</t>
  </si>
  <si>
    <t>BLDG C BLDG C L00 PRESS BAR COFFER VENTILATION</t>
  </si>
  <si>
    <t>R-VAR-0358</t>
  </si>
  <si>
    <t>INTEGRATION OF LOCAL ALARMS WITHIN CARD READERS</t>
  </si>
  <si>
    <t>R-VAR-0371</t>
  </si>
  <si>
    <t>KNX INTEGRATION CONTROLLERS</t>
  </si>
  <si>
    <t>R-VAR-0375</t>
  </si>
  <si>
    <t>ALL BLDGS - MULTICREDENTIAL READER</t>
  </si>
  <si>
    <t>R-VAR-0384</t>
  </si>
  <si>
    <t>KNX BMS INTEGRATION</t>
  </si>
  <si>
    <t>R-VAR-0385</t>
  </si>
  <si>
    <t>BLDG C CLEANER'S ROOMS</t>
  </si>
  <si>
    <t>R-VAR-0387</t>
  </si>
  <si>
    <t>BLDG C BLIND AND MOTORIZED WINDOW BOXES</t>
  </si>
  <si>
    <t>R-VAR-0395</t>
  </si>
  <si>
    <t>BLDG C - COUNCIL CHAMBER AV RACKS RELOCATION</t>
  </si>
  <si>
    <t>R-VAR-0397</t>
  </si>
  <si>
    <t>BLDG C SENSITIVE ROOMS - SALON TCHEQUE ET SLOVAQUE</t>
  </si>
  <si>
    <t>R-VAR-0399</t>
  </si>
  <si>
    <t>BLDG C L02 COUNCIL CHAMBER GALLERY EXIT</t>
  </si>
  <si>
    <t>R-VAR-0405</t>
  </si>
  <si>
    <t>BLDG C - FLS UPDATES</t>
  </si>
  <si>
    <t>R-VAR-0406</t>
  </si>
  <si>
    <t>2ND HANDRAIL IN STAIRCASES</t>
  </si>
  <si>
    <t>AB/AC/C/B</t>
  </si>
  <si>
    <t>R-VAR-0408</t>
  </si>
  <si>
    <t>ENTRANCE POSTS WITH SAFEROUTE</t>
  </si>
  <si>
    <t>B/C/D/S1/S2</t>
  </si>
  <si>
    <t>R-VAR-0416</t>
  </si>
  <si>
    <t>BLDG C EXISTING OPENINGS IN BASEMENTS</t>
  </si>
  <si>
    <t>R-VAR-0417</t>
  </si>
  <si>
    <t>BLDG C COUNCIL CHAMBER HEATING COILS BMS</t>
  </si>
  <si>
    <t>R-VAR-0448</t>
  </si>
  <si>
    <t>BLDGS B &amp; C - FLS POWER SUPPLY CABLE SECTIONS</t>
  </si>
  <si>
    <t>R-VAR-0449</t>
  </si>
  <si>
    <t>BLDG C SENSITIVE ROOMS - SALON RUSSE + LOBBY</t>
  </si>
  <si>
    <t>R-VAR-0456</t>
  </si>
  <si>
    <t>BDLG C SENSITIVE ROOMS - COUNCIL CHAMBER</t>
  </si>
  <si>
    <t>R-VAR-0457</t>
  </si>
  <si>
    <t>BDLG C SENSITIVE ROOMS - SALON FRANCAIS</t>
  </si>
  <si>
    <t>R-VAR-0464</t>
  </si>
  <si>
    <t>C14-C15 cables for the network switches</t>
  </si>
  <si>
    <t>R-VAR-0473</t>
  </si>
  <si>
    <t>BLDG C - L01 FIRE CURTAINS STRUCTURAL IMPACT</t>
  </si>
  <si>
    <t>R-VAR-0474</t>
  </si>
  <si>
    <t>BLDG C - ENTRANCE AND PRESS BAR NEW STONE LAYOUT</t>
  </si>
  <si>
    <t>R-VAR-0478</t>
  </si>
  <si>
    <t>​Descope of AV equipment installed in meeting Rooms (CDP???)</t>
  </si>
  <si>
    <t>AB/AC/C/S</t>
  </si>
  <si>
    <t>R-VAR-0490</t>
  </si>
  <si>
    <t>DIGITAL SIGNAGE</t>
  </si>
  <si>
    <t>A/AB/AC/C/S1</t>
  </si>
  <si>
    <t>R-VAR-0493</t>
  </si>
  <si>
    <t>BLDG C - UNTV DOORS</t>
  </si>
  <si>
    <t>R-VAR-0499</t>
  </si>
  <si>
    <t>Installation of Pressure Regulating Valves</t>
  </si>
  <si>
    <t>R-VAR-0502</t>
  </si>
  <si>
    <t>Patching changes</t>
  </si>
  <si>
    <t>A/AB/B/C/S1/S2</t>
  </si>
  <si>
    <t>R-VAR-0503</t>
  </si>
  <si>
    <t>Room C6 new layout</t>
  </si>
  <si>
    <t>R-VAR-0506</t>
  </si>
  <si>
    <t>BDLG C ADDITIONAL FIRE DETECTION DEVICES (CDP)</t>
  </si>
  <si>
    <t>R-VAR-0512</t>
  </si>
  <si>
    <t>Bldg C stair 5 corridors changes</t>
  </si>
  <si>
    <t>R-VAR-0515</t>
  </si>
  <si>
    <t>BLDG C STAIR 6 LIGHTING</t>
  </si>
  <si>
    <t>R-VAR-0521</t>
  </si>
  <si>
    <t>PA SPEAKERS BLDG C ATRIUM (CDP)</t>
  </si>
  <si>
    <t>R-VAR-0525</t>
  </si>
  <si>
    <t>ADDITIONAL REVOLVING DOORS A17, A18, C21</t>
  </si>
  <si>
    <t>AB/C</t>
  </si>
  <si>
    <t>R-VAR-0529</t>
  </si>
  <si>
    <t>Braille in handrails</t>
  </si>
  <si>
    <t>R-VAR-0533</t>
  </si>
  <si>
    <t>Bins fixed furniture descope</t>
  </si>
  <si>
    <t>All</t>
  </si>
  <si>
    <t>R-VAR-0535</t>
  </si>
  <si>
    <t>BLDG C - DOOR UPDATES</t>
  </si>
  <si>
    <t>R-VAR-0536</t>
  </si>
  <si>
    <t>BLDG C - FIRE INDICATOR UPDATES</t>
  </si>
  <si>
    <t>R-VAR-0539</t>
  </si>
  <si>
    <t>Bldg A / AB Conference doors new doors buttons</t>
  </si>
  <si>
    <t>A / AB / AC / C</t>
  </si>
  <si>
    <t>R-VAR-0540</t>
  </si>
  <si>
    <t>Bldg C RF1 materials on Stair 5</t>
  </si>
  <si>
    <t>R-VAR-0544</t>
  </si>
  <si>
    <t>Salle C6 Chinese donation</t>
  </si>
  <si>
    <t>R-VAR-0549</t>
  </si>
  <si>
    <t>Descope of outside cameras</t>
  </si>
  <si>
    <t>R-VAR-0553</t>
  </si>
  <si>
    <t>FIRE CURTAIN KEYS</t>
  </si>
  <si>
    <t>A/AB/AC/C/B/S1/S2</t>
  </si>
  <si>
    <t>R-VAR-0569</t>
  </si>
  <si>
    <t>Bldg C replace bar roller shutter</t>
  </si>
  <si>
    <t>R-VAR-0570</t>
  </si>
  <si>
    <t>Bldg C L02 Door Design Clarification</t>
  </si>
  <si>
    <t>R-VAR-0573</t>
  </si>
  <si>
    <t>BLDG C L00 DOCK 5 DOOR UPDATE</t>
  </si>
  <si>
    <t>R-VAR-0575</t>
  </si>
  <si>
    <t>AV-TR move for Room 1</t>
  </si>
  <si>
    <t>R-VAR-0576</t>
  </si>
  <si>
    <t>BLDG C - FLS EL AND MH UPDATE</t>
  </si>
  <si>
    <t>R-VAR-0577</t>
  </si>
  <si>
    <t>BLDG C - SECURITY UPDATE</t>
  </si>
  <si>
    <t>R-VAR-0579</t>
  </si>
  <si>
    <t>Bldg C L00 - C6 entrance update</t>
  </si>
  <si>
    <t>R-VAR-0581</t>
  </si>
  <si>
    <t>Bldg C Descope of basement linoleum flooring (ARCHIVES LB1-LB2-LB3)</t>
  </si>
  <si>
    <t>R-VAR-0591</t>
  </si>
  <si>
    <t>Council Chamber corridor ceiling L2</t>
  </si>
  <si>
    <t>R-VAR-0597</t>
  </si>
  <si>
    <t>BLDG C SECURITY THERMAL CAMERA POWER SUPPL</t>
  </si>
  <si>
    <t>R-VAR-0599</t>
  </si>
  <si>
    <t>DESCOPE OF SECOND FEED</t>
  </si>
  <si>
    <t>A/AC/C/B</t>
  </si>
  <si>
    <t>R-VAR-0600</t>
  </si>
  <si>
    <t>Bldg C restauration miroir Kasskoff</t>
  </si>
  <si>
    <t>R-VAR-0604</t>
  </si>
  <si>
    <t>BLDG C PRESS BAR COUNTER TOP</t>
  </si>
  <si>
    <t>R-VAR-0611</t>
  </si>
  <si>
    <t>BLDS A, AB, B &amp; C WINDOW FRAMES</t>
  </si>
  <si>
    <t>AB/B/C</t>
  </si>
  <si>
    <t>R-VAR-0612</t>
  </si>
  <si>
    <t>VAR 173 revision Overall Broadcast (broadcast, lighting and services included)</t>
  </si>
  <si>
    <t>R-VAR-0618</t>
  </si>
  <si>
    <t>Bldg C Salle 1 Emergency Lighting</t>
  </si>
  <si>
    <t>R-VAR-0624</t>
  </si>
  <si>
    <t>Bldg C Electrical panel board F15/2</t>
  </si>
  <si>
    <t>R-VAR-0625</t>
  </si>
  <si>
    <t>Bldg C Electrical panel board F15 and cabling replacing</t>
  </si>
  <si>
    <t>R-VAR-0628</t>
  </si>
  <si>
    <t>Council Chamber AV - to check if eligible</t>
  </si>
  <si>
    <t>R-VAR-0629</t>
  </si>
  <si>
    <t>Door C5 cafeteria logistic adjustment (Bldg E catering BC)</t>
  </si>
  <si>
    <t>R-VAR-0631</t>
  </si>
  <si>
    <t>BLDG C – L00 – Existing Windows Wooden Frame</t>
  </si>
  <si>
    <t>Building C : C-300</t>
  </si>
  <si>
    <t>Cinzia Porracin</t>
  </si>
  <si>
    <t>Agathe</t>
  </si>
  <si>
    <t>Arnaud</t>
  </si>
  <si>
    <t>ºº</t>
  </si>
  <si>
    <t>arnaud</t>
  </si>
  <si>
    <t>UBS start of finishing works</t>
  </si>
  <si>
    <t xml:space="preserve">12.07: By mid january, UBS to start finishes works by mid January.
+/- 2 months </t>
  </si>
  <si>
    <t>UBS operation</t>
  </si>
  <si>
    <t>12.07: By 16.03.2026. Worth case 01.07.2026</t>
  </si>
  <si>
    <t>OPEN HOUSE</t>
  </si>
  <si>
    <t xml:space="preserve">12.07: Their will be an Open House day, UBS will not be invited </t>
  </si>
  <si>
    <t>Next meeting</t>
  </si>
  <si>
    <t>12.07: Friday 26.09</t>
  </si>
  <si>
    <t>ING &amp; COMMISSIONING</t>
  </si>
  <si>
    <r>
      <t xml:space="preserve">Prerequisites to </t>
    </r>
    <r>
      <rPr>
        <b/>
        <sz val="11"/>
        <color theme="1"/>
        <rFont val="Calibri"/>
        <family val="2"/>
        <scheme val="minor"/>
      </rPr>
      <t>handover</t>
    </r>
    <r>
      <rPr>
        <sz val="11"/>
        <color theme="1"/>
        <rFont val="Calibri"/>
        <family val="2"/>
        <scheme val="minor"/>
      </rPr>
      <t xml:space="preserve"> the switches:</t>
    </r>
  </si>
  <si>
    <t>Action</t>
  </si>
  <si>
    <t>Rack elevations are approved in PMWeb;</t>
  </si>
  <si>
    <t>All works inside the TRs are finalized (except for the installation of the switches);</t>
  </si>
  <si>
    <t>The TRs are cleaned and dust free;</t>
  </si>
  <si>
    <t>If there are works generating dust in areas close to the TRs, the TRs have to be protected against the dust;</t>
  </si>
  <si>
    <t>The TRs’ doors have temporary locks (until the access control is activated).</t>
  </si>
  <si>
    <r>
      <t xml:space="preserve">Prerequisites to </t>
    </r>
    <r>
      <rPr>
        <b/>
        <sz val="11"/>
        <color theme="1"/>
        <rFont val="Calibri"/>
        <family val="2"/>
        <scheme val="minor"/>
      </rPr>
      <t>turn on</t>
    </r>
    <r>
      <rPr>
        <sz val="11"/>
        <color theme="1"/>
        <rFont val="Calibri"/>
        <family val="2"/>
        <scheme val="minor"/>
      </rPr>
      <t xml:space="preserve"> the switches:</t>
    </r>
  </si>
  <si>
    <t>All switches provided to RPN are installed according to the rack elevation provided by RPN;</t>
  </si>
  <si>
    <t>TRs are clean.  The cleanliness has to be assessed by ICTS during a site visit.</t>
  </si>
  <si>
    <t>Keys of the TRs are provided to ICTS;</t>
  </si>
  <si>
    <t>The HVAC of the TRs is turned on;</t>
  </si>
  <si>
    <t>The protected electricity (UPS) is available in the racks;</t>
  </si>
  <si>
    <t>The certification of the optical fibers is approved in PMWeb;</t>
  </si>
  <si>
    <t>Optical fiber patch cables are provided to ICTS to connect the switches to the UNOG LAN;</t>
  </si>
  <si>
    <t>Row</t>
  </si>
  <si>
    <t>VAR 106</t>
  </si>
  <si>
    <t>BLDG C ARCHIVE FIRE PROTECTION</t>
  </si>
  <si>
    <t>-</t>
  </si>
  <si>
    <t>18.07.2024</t>
  </si>
  <si>
    <t>ActionClosed</t>
  </si>
  <si>
    <t>N</t>
  </si>
  <si>
    <t>VAR 138</t>
  </si>
  <si>
    <t xml:space="preserve">BLDG C - ARCHIVES VENTILATION - BASEMENT </t>
  </si>
  <si>
    <t>C: 12/06/23</t>
  </si>
  <si>
    <t>VAR 167</t>
  </si>
  <si>
    <t>INS 268, INS 326</t>
  </si>
  <si>
    <t>VAR 180</t>
  </si>
  <si>
    <t>BDLG C LB2 PLANTROOM C.0014</t>
  </si>
  <si>
    <t>C: 28-Jul-23</t>
  </si>
  <si>
    <t>No Info</t>
  </si>
  <si>
    <t>INS 348</t>
  </si>
  <si>
    <t>VAR 243</t>
  </si>
  <si>
    <t>VAR 249</t>
  </si>
  <si>
    <t>Bldg C- SKYLIGHT SECURITY AND LIGHTING CONTROL</t>
  </si>
  <si>
    <t>VAR 260</t>
  </si>
  <si>
    <t xml:space="preserve">AB: 21/05/2024
C:    23/04/2024 </t>
  </si>
  <si>
    <t>INS 311</t>
  </si>
  <si>
    <t>INS 341</t>
  </si>
  <si>
    <t>Bldg C fire dampers VAR 138 - Rev 1</t>
  </si>
  <si>
    <t>VAR 387</t>
  </si>
  <si>
    <t/>
  </si>
  <si>
    <t>VAR 395</t>
  </si>
  <si>
    <t>C: 16-Apr-25</t>
  </si>
  <si>
    <t>VAR 399</t>
  </si>
  <si>
    <t>INS 408</t>
  </si>
  <si>
    <t>Bldg C - PA speakers L01-L02 - Open Aera Council Chamber - PA speakers</t>
  </si>
  <si>
    <t>VAR 416</t>
  </si>
  <si>
    <t>VAR 426</t>
  </si>
  <si>
    <t>BLDG C - IT CABLING</t>
  </si>
  <si>
    <t>INS 409</t>
  </si>
  <si>
    <t>VAR 449</t>
  </si>
  <si>
    <t>VAR 450</t>
  </si>
  <si>
    <t>BLDG C SENSITIVE ROOMS - SALLE 1 AND 2</t>
  </si>
  <si>
    <t>01.10.2024</t>
  </si>
  <si>
    <t>VAR 474</t>
  </si>
  <si>
    <t>VAR 493</t>
  </si>
  <si>
    <t>6.11.2024</t>
  </si>
  <si>
    <t>neil.bradley@un.org</t>
  </si>
  <si>
    <t>VAR 494</t>
  </si>
  <si>
    <t>BLDG C - UNTV BLINDS</t>
  </si>
  <si>
    <t>jessica.donatelli@cmbcarpi.it</t>
  </si>
  <si>
    <t>VAR 504</t>
  </si>
  <si>
    <t>Access control IT room LB1 S1</t>
  </si>
  <si>
    <t>VAR 506</t>
  </si>
  <si>
    <t>Final EL installation for Skylight
RFI-0930-b</t>
  </si>
  <si>
    <t>MAG 5.1 - MEP Installation blocked by archives presence</t>
  </si>
  <si>
    <t>Opening for electrical elements to be validated</t>
  </si>
  <si>
    <t>VAR 527 has been issued</t>
  </si>
  <si>
    <t>RPN subcontract to update documents</t>
  </si>
  <si>
    <t>RPN to issue design</t>
  </si>
  <si>
    <t>Subcontractor of roller shutter (Rieder) to provide missing technical informations (dimension &amp; position of motor)</t>
  </si>
  <si>
    <t>RPN to provide the List of equipment. To be confirmed by UNTV</t>
  </si>
  <si>
    <t>Check with UNTV stakeholders whether vision panel in door  type C_WD104 can be ommited</t>
  </si>
  <si>
    <t>SOMBP to provide sketch</t>
  </si>
  <si>
    <t>RPN to fill the gap with bricks, 
will be considered as exisiting</t>
  </si>
  <si>
    <t>RPN confirmed the marble has been stored and will be reinstalled</t>
  </si>
  <si>
    <t>27.11 cost agreed, step 4 to be issued</t>
  </si>
  <si>
    <t>27.11, cost agreed
SHP to issue step 4</t>
  </si>
  <si>
    <t>Planning updates</t>
  </si>
  <si>
    <t>INFO (New)</t>
  </si>
  <si>
    <t>10.12: Visual board have been updated</t>
  </si>
  <si>
    <t>Red</t>
  </si>
  <si>
    <t>Planning updates-</t>
  </si>
  <si>
    <t>matteo.naldi@cmbcarpi.it</t>
  </si>
  <si>
    <t>simone.conti@cmbcarpi.it</t>
  </si>
  <si>
    <t>Y</t>
  </si>
  <si>
    <t>SALLE 1 &amp; 2</t>
  </si>
  <si>
    <t>03.12: EGGTELSA refuse the VAR 450 split (FLS updates) - VAR was determined on 19th of sept 2024.
11.12: EGGTELSA validated the cost and is proceeding</t>
  </si>
  <si>
    <t>SALLE 1 &amp; 2-</t>
  </si>
  <si>
    <t>PRESS KITCHEN</t>
  </si>
  <si>
    <t>Metal structure to support Chillers above cold room will be installed week 01.12</t>
  </si>
  <si>
    <t>PRESS KITCHEN-</t>
  </si>
  <si>
    <t>VAR 385 toilet</t>
  </si>
  <si>
    <t>Works on going at leve 1 &amp; 4</t>
  </si>
  <si>
    <t>VAR 385 toilet-</t>
  </si>
  <si>
    <t>Revolving doors entrance C6</t>
  </si>
  <si>
    <t>06.11: Dormakaba already came on site to take measurement of doors. Doors will be delivered +/- end of January</t>
  </si>
  <si>
    <t>Insulation around Windows at level 5</t>
  </si>
  <si>
    <t>05.12: site visit, RPN raised an issue regarding colocation of insulating material around new windows that will damage the heritage marble in toilets</t>
  </si>
  <si>
    <t xml:space="preserve">11.12: SOMBP to assess whether insulation is required or can be omitted.
18.12: issue closed, see weekly Technical meeting #193
</t>
  </si>
  <si>
    <t>RADIATOR PEDESTAL</t>
  </si>
  <si>
    <t>12.02: sample have been approved
19.02: MAS have been submitted
26.02: MAS have been approved</t>
  </si>
  <si>
    <t>SALLE 1 - unexpected RJ45</t>
  </si>
  <si>
    <t>12.02: during Sensitive room site viste (11.02) unexpected new RJ45 in floor box was noticed
19.02: unexpected RJ45 is accepted as it is in floor box</t>
  </si>
  <si>
    <t>12.02: Sensitive room site viste notice unexpected new RJ45 in floor box. SHP to confirm if NCF/ TCI / RFI is to be raised</t>
  </si>
  <si>
    <t>TC5</t>
  </si>
  <si>
    <t>10.02: 2 AV rack are to be removed from TC5 to perform activities</t>
  </si>
  <si>
    <t xml:space="preserve">18.02: SHP/ FMS will remove AV rack dedicated to salle 1.
RPN/ 3P will remove AV rack deicated to Council chamber.
26.02: SHP/ FMS to remove AV rack dedicated to salle 1.
</t>
  </si>
  <si>
    <t>UNTV - Works</t>
  </si>
  <si>
    <t>[Records have been copied in commnents, refer to xls sheet for details]
19.02: Ecophon Ceiling haven't been installed and Electrical terminal haven't been installed in UNTV - does not affect Cleansite.</t>
  </si>
  <si>
    <t>MEETING ROOM - AV</t>
  </si>
  <si>
    <t>12.02: VAR 299 show sound bar bellow TV. sockets are in conflict with the sokets.
Overseen by VAR 478
19.03: INS received</t>
  </si>
  <si>
    <t>12.02: SMW (Ben Lang) to update VAR 299 including Roomba above TV.
19.02: SHP to clarify CISCOBAR and support detail</t>
  </si>
  <si>
    <t>SALLE C6 - Coordination</t>
  </si>
  <si>
    <t>19.02: Design includes AV conection and furniture in Mural
19.02: Position of cameras and speakers conflict with emergency signage</t>
  </si>
  <si>
    <t>19.02 Raise to architectural meeting</t>
  </si>
  <si>
    <t>UNTV - edit &amp; Control room + touchdown</t>
  </si>
  <si>
    <t>ACTION (New)</t>
  </si>
  <si>
    <t>12.03: False ceiling will be ready to install +/- 20.03
19.03: ELEC &amp; Mechanical inspection have been run
No Major issues</t>
  </si>
  <si>
    <t>26.03: RPN to issue MOM regarding last week site walks
- cable tray mokeup
- floor detail passage cables/ door</t>
  </si>
  <si>
    <t>PRESS BAR
Cold room</t>
  </si>
  <si>
    <t>26.02: Cold room will be installed after all dusty works is completed</t>
  </si>
  <si>
    <t>COUNCIL CHAMBER - Ceiling finishes</t>
  </si>
  <si>
    <t>02.04: no changes have been noted from the condition report.</t>
  </si>
  <si>
    <t>12.03: +/- 20m false marble ceiling @L0 and mezzanine to be repared.
=&gt; RPN to propose cost</t>
  </si>
  <si>
    <t>COUNCIL CHAMBER - Cameras</t>
  </si>
  <si>
    <t>12.02 [AV focus meeting]: RPN to provide details of cameras for Historic architects approval.</t>
  </si>
  <si>
    <t>UNTV - Colour of furnitures in Edit room</t>
  </si>
  <si>
    <t>26.03: SHP confirm that colour of furnitures in edit room is: STANDARD 7043 (dark grey)  as per  supplier's catalogue.</t>
  </si>
  <si>
    <t>26.03: RPN to order desks</t>
  </si>
  <si>
    <t>PRESS BAR
INS 353 descope of shutter</t>
  </si>
  <si>
    <t>SALLE 2</t>
  </si>
  <si>
    <t>[Records have been copied in commnents, refer to xls sheet for details]
12.03: Library is ready to move from Bldg. A to Bldg. C &amp; AC
19.03: Hazard materious is preasent in flooring. Works will be proceed from bellow. RPN to inform SHP.</t>
  </si>
  <si>
    <t>26.03: RPN will raise RFI Daywork for ceiling restauration</t>
  </si>
  <si>
    <t>UNTV - NCF</t>
  </si>
  <si>
    <t>09.04: 2 NCF are open</t>
  </si>
  <si>
    <t>09.04: NCF were closed by dismantling the studio
Administartive works to be completed</t>
  </si>
  <si>
    <t>UNTV - Contract for AV instalation</t>
  </si>
  <si>
    <t>09.04: Contract with VISUAL has been signed</t>
  </si>
  <si>
    <t>Door updates</t>
  </si>
  <si>
    <t>08.04: very urgent variation</t>
  </si>
  <si>
    <t>08.04: SHP to issue step 1 (on signature).</t>
  </si>
  <si>
    <t>ARCHIVES - MAG 6</t>
  </si>
  <si>
    <t xml:space="preserve">VAR 106 fire encasement of steel beams, only need paints
28.01 : UN Archive requires a plan to have this room back.
02.04: Pelichet is installing the shelves. 
09.04: works completed, </t>
  </si>
  <si>
    <t>09.04: SHP to organise moves of the archives</t>
  </si>
  <si>
    <t>FLS design issues</t>
  </si>
  <si>
    <t>15.01: Leson learned from other sections to be implemented on site</t>
  </si>
  <si>
    <t>L0</t>
  </si>
  <si>
    <t>05.02 Instalation of cable trays proceeding</t>
  </si>
  <si>
    <t>05.02 : Eggtelsa pooling cables</t>
  </si>
  <si>
    <t>19.03: Insulation behind radiator to be done</t>
  </si>
  <si>
    <t>L03</t>
  </si>
  <si>
    <t>19.02: Eggtelsa is proceeding</t>
  </si>
  <si>
    <t>22.01: ISOSUISSE to start ceiling installation
19.03: Insulation behind radiator has been done.</t>
  </si>
  <si>
    <t>22.01: Ceiling completed by ISO SUISSE
first layer of painting completed.
Carpet installed
Linoleum to be installed at the last moment
19.03: Insulation behind radiator has been done.</t>
  </si>
  <si>
    <t>COUNCIL CHAMBER - Fire curtains</t>
  </si>
  <si>
    <t>19.02: SHP to confirm architectural finishes
26.02: Consorcio Auro to propose matching color</t>
  </si>
  <si>
    <t>COUNCIL CHAMBER</t>
  </si>
  <si>
    <t>22.01: 3P made a survey, all equipments are in place. Inventory to be submitted after Bldg. A &amp; AB inventory is agreed.
19.02: Strip out started</t>
  </si>
  <si>
    <t xml:space="preserve">05.02: Preparatory work to start next week.
12.02: Strip out of old cables started (EGGTELSA)
</t>
  </si>
  <si>
    <t>Meeting room AV - 
INS 430</t>
  </si>
  <si>
    <t>02.04: RPN is requesting daywork</t>
  </si>
  <si>
    <t>02.04: SHP to issue step 3</t>
  </si>
  <si>
    <t>SALON FRANCAIS
- Leuleu table (shark skin)</t>
  </si>
  <si>
    <t>09.04: Inspection has been run +/-1.5Y agor. Table is to be repaired
14.05: VIGANO is proceeding to refurbishment</t>
  </si>
  <si>
    <t>UNTV
- Rack elevation</t>
  </si>
  <si>
    <t>13.05: Rack elevation design rev.6 has been submitted</t>
  </si>
  <si>
    <t>UNTV
- Vapour barier</t>
  </si>
  <si>
    <t>16.04: no MAS for the Installed Vapour Barier (yellow) has been approved nor submitted by RPN.
installation no not comply with requirements.
30.05: Site adjustment will not affect clean site date.
14.05: ISOSUISSE is proceeding on site</t>
  </si>
  <si>
    <t>UNTV
- INS 469 Window frame in Corridor</t>
  </si>
  <si>
    <t>13.05: SOMBP issued INS 469</t>
  </si>
  <si>
    <t>13.05: SHP to issue Step 1</t>
  </si>
  <si>
    <t>UNTV
- Doors &amp; window supply</t>
  </si>
  <si>
    <t>19.02: Potential conflict between external windows and internal doors and "Clean site"
30.04: Windows have been received for LB01 and L00
Visual &amp; Treepe site visit organized on 30.04</t>
  </si>
  <si>
    <t>30.04: doors to be delivered.RPN to confirm
30.04: Visual &amp; Treepe to start 05.05</t>
  </si>
  <si>
    <t>All bldgs - Fire curtain keys
VAR 553</t>
  </si>
  <si>
    <t xml:space="preserve">21.05: </t>
  </si>
  <si>
    <t>19.03: RPN to issue commercial proposal</t>
  </si>
  <si>
    <t>SALON TCHEQUE
- Zodiac Artwork</t>
  </si>
  <si>
    <t>16.04: Survey is ongoing
Consorcio Auro do recomend comprehensive reparation</t>
  </si>
  <si>
    <t>16.04: SHP to raise the issue to Tcheque and Slovak delegation
07.05: SHP confirm that cracks will not be treated</t>
  </si>
  <si>
    <t>VAR 600</t>
  </si>
  <si>
    <t>SALON FRANCAIS
- Kasskoff artwork</t>
  </si>
  <si>
    <t>[Records have been copied in commnents, refer to xls sheet for details]
09.04: Gulia has provided feedback "Peeling is due to natural process".</t>
  </si>
  <si>
    <t>13.05: Cost has been approved.
SHP to issue VAR</t>
  </si>
  <si>
    <t>SENSITIVE ROOM
- Doors</t>
  </si>
  <si>
    <t>PRESS BAR
- Fire closure in ceiling</t>
  </si>
  <si>
    <t xml:space="preserve">14.05: [see rosario] RPN to share the schematic diagram of fire </t>
  </si>
  <si>
    <t>SALON FRANCAIS
- VAR 457</t>
  </si>
  <si>
    <t>[Records have been copied in commnents, refer to xls sheet for details]
02.03: VAR 457 Step3 rev. 1 has been issued</t>
  </si>
  <si>
    <t>ENTRANCE C6
- Fire panel</t>
  </si>
  <si>
    <t>28.05: SHP to issue step 1</t>
  </si>
  <si>
    <t>PRESS BAR
- Cingria substructure</t>
  </si>
  <si>
    <t>28.05: EGGTELSA complete the works
ISOSUISSE completeing the false ceiling</t>
  </si>
  <si>
    <t>SALON FRANCAIS
- Emergency light in salon Roumain</t>
  </si>
  <si>
    <t>30.04: Works to be done through Salle IV floor
04.06: path have been confirmed</t>
  </si>
  <si>
    <t>21.05: SHP to confirm the path</t>
  </si>
  <si>
    <t>F</t>
  </si>
  <si>
    <t>SALLE C6
- Gap around Interpreter booth window
- KNAUF diamond to be installed between Booth.</t>
  </si>
  <si>
    <t>14.05: Discrepencies between approved design and execution
28.05: TCI was open and solution proposed.
06.04: NCF has been raised</t>
  </si>
  <si>
    <t>21.05: SOMBP to check with Kopitsis
Lucille Treille de Grandsaigne (new email, UN-IT is working on the problem)</t>
  </si>
  <si>
    <t>SALLE C6
- Subwoofer</t>
  </si>
  <si>
    <t>28.05: Subwoofer position is unique.</t>
  </si>
  <si>
    <t>14.05: Refer to AV meeting</t>
  </si>
  <si>
    <t>INS 478</t>
  </si>
  <si>
    <t>SALON TCHEQUE
- Lighting Fixtures</t>
  </si>
  <si>
    <t>30.04: Outdated fluorescent light to be updated
15.05: RPN proposed LED lighting
10.06: INS 478 has been submitted</t>
  </si>
  <si>
    <t>SALON FRANCAIS
- Void</t>
  </si>
  <si>
    <t>04.06: The void has been indentified as a ventilation plenum
11.06; confirmed</t>
  </si>
  <si>
    <t>PRESS BAR
- Cingria prototype</t>
  </si>
  <si>
    <t>[Records have been copied in commnents, refer to xls sheet for details]
09.04: Survey has been runed. metal structure is required (big Cingria)
Small cingria will be supported by inserts</t>
  </si>
  <si>
    <t>Works on Council chamber roof</t>
  </si>
  <si>
    <t>21.05: RPN will issue conditional report in DALUX
21.05: SHP to confirm load</t>
  </si>
  <si>
    <t>Existing cupboard and internal doors</t>
  </si>
  <si>
    <t>30.04: SHP/ SOMBP/ RPN have organized site survey
ACAPI to start final painting by +/- 05.05.
14.05: RPN submit proposal
- x% to RPN
- x% fine
- 1/3 to be shared
- 1/3 to FMS
11.06: Damages are tracked by RPN
RPN to paint the cupboard damaged by them only</t>
  </si>
  <si>
    <t>30.04: RPN to complete L02 &amp; 03 and issue final site report
21.05 SHP to assess type of intervention (see ROSARIO email)
04.06: SHP/ SOMBP to assess and raise TCI</t>
  </si>
  <si>
    <t>SALON RUSSE
- Furnitures</t>
  </si>
  <si>
    <t>03.06: RPN to confirm that all furniture items included in the excel are in good condition and continue to work as intended.</t>
  </si>
  <si>
    <t>SALLE 1
- Emergency light</t>
  </si>
  <si>
    <t>[Records have been copied in commnents, refer to xls sheet for details]
19.02: 1 Lux is required.SHP to confirm position
02.04: INS 454 emergency lights have bee received.
15.05: Step1 has been issued</t>
  </si>
  <si>
    <t xml:space="preserve">18.06: RPN to confirm if works can be covered by RFI daywork </t>
  </si>
  <si>
    <t>WINDOW FRAMES
- Plasterboard instead of wood</t>
  </si>
  <si>
    <t xml:space="preserve">[Records have been copied in commnents, refer to xls sheet for details]
30.05: SOMBP issued the INS
11.06: INS has been submitted
18.06: </t>
  </si>
  <si>
    <t>25.06: refer to Pre-Construction meeting</t>
  </si>
  <si>
    <t>SALON TCHEQUE
- Sample painting</t>
  </si>
  <si>
    <t>[Records have been copied in commnents, refer to xls sheet for details]
09.04: Sample painting has been done.
15.04: Colour samples have been presented &amp; rejected.
28.05: New colours samples have been rejected.
27.06: sample colour has been approved "BLANC champigny mat"</t>
  </si>
  <si>
    <t>SENSITIVE ROOM
- False ceiling finishes + SAS</t>
  </si>
  <si>
    <t xml:space="preserve">05.05: this VAR is in continuity of VAR 473 - fire curtains.
18.06: SOMBP sent revised step 3
25.06: revised step 3 issued </t>
  </si>
  <si>
    <t>COUNCIL CHAMBER
- LED Wall</t>
  </si>
  <si>
    <t>25.06: SHP to comment dwg. (TA + archi)</t>
  </si>
  <si>
    <t>COUNCIL CHAMBER
- Slab</t>
  </si>
  <si>
    <t>11.06: slab bellow platform is 1/2 cement 1/2 brick.</t>
  </si>
  <si>
    <t>11.06: RPN to propose an alternative solution to fix the LED wall.</t>
  </si>
  <si>
    <t>COUNCIL CHAMBER
- Mezzanine corridor</t>
  </si>
  <si>
    <t>04.06: Long part to be painted RAL
laterral part to be repaint
11.06: G&amp;T corrected the pirce</t>
  </si>
  <si>
    <t>04.06: depending on conditional report use shared risk allowance.</t>
  </si>
  <si>
    <t>COUNCIL CHAMBER
- VAR 473 Fire curtain</t>
  </si>
  <si>
    <t>28.05: False ceiling has been dismanteled in vesitibule</t>
  </si>
  <si>
    <t>11.06: SOMBP to check cost file to align with Max request.</t>
  </si>
  <si>
    <t>ROOF of S1</t>
  </si>
  <si>
    <t>12.06: FMS informed SHP of the presence of construction material on the roof of Building S1-</t>
  </si>
  <si>
    <t>16.06: RPN to check if any material has been stored on the roof of Bldg. S1</t>
  </si>
  <si>
    <t>IT Network Activation</t>
  </si>
  <si>
    <t>12.07: Once prerequiste are full filled, Network can be activated in 1 week.</t>
  </si>
  <si>
    <t>12.07: IT room will be ready:
- L2 &amp; L4 end of July
- LB01 end of August</t>
  </si>
  <si>
    <t>IT NETWORK ACTIVATION</t>
  </si>
  <si>
    <t>09.07: IT Network activation is planned for the 25.08
SHP+ ICTS inspection of IT room 4th &amp; 5th floor ready by the end of July.
ICTS to deliver switches + program.</t>
  </si>
  <si>
    <t>09.07: SHP to organise Technical launch meeting</t>
  </si>
  <si>
    <t>ARCHIVES
- Smoke detectors Vs Shelves</t>
  </si>
  <si>
    <t>21.05: SIEMENS made comments regarding the position of the smoke detector &amp; shelves
18.06: VAR 576 to be revised
09.07: VAR 576 rev 1 have been issued</t>
  </si>
  <si>
    <t>09.07: RPN to issue step 2</t>
  </si>
  <si>
    <t xml:space="preserve">SALLE 1 - Corridor Colour </t>
  </si>
  <si>
    <t>29.04: INS 461 have been sent for signature
09.07: INS have been issued</t>
  </si>
  <si>
    <t>PLANNING
- Stone Level 0</t>
  </si>
  <si>
    <t xml:space="preserve"> 09.07: Stone supplier changed for Level 0. New stone approved.
- Delivery 2 month + August = end of September + 3 weeks installation
- Impact on press bar furniture and glazed partitions,
16.07: In line with S/C </t>
  </si>
  <si>
    <t>fibers in room S.84 and S.63.</t>
  </si>
  <si>
    <t>15.07: Fiber is required for UNTV BC</t>
  </si>
  <si>
    <t>15.07: RPN to confirm fibers have been already pulled.
is S.76 included?</t>
  </si>
  <si>
    <t>Door modification markup</t>
  </si>
  <si>
    <t>03.06: RPN requires extra cleaning fees due to proximity with UNTV. Why?</t>
  </si>
  <si>
    <t>Rack elevation</t>
  </si>
  <si>
    <t>04.08: Rack elevation have been approved</t>
  </si>
  <si>
    <t>12.07: RPN to request delivery of the swithes to Dragos (Guillermo Garcia)
30.07: SHP to comment Rack elevation rev.8</t>
  </si>
  <si>
    <t>SALON RUSSE</t>
  </si>
  <si>
    <t>03.09: existing cables to be kept</t>
  </si>
  <si>
    <t>27.08: SHP to confirm if existing cables can remain or have to be changed.</t>
  </si>
  <si>
    <t>ARCHIVES
- MAG 6</t>
  </si>
  <si>
    <t>Archives have been moved in</t>
  </si>
  <si>
    <t>01.06: Temporary door to be locked. Key to be provided to Library.
RPN to ensure no construction works in this space dust afect stored archives</t>
  </si>
  <si>
    <t>ARCHIVES LB1
- MAG 10.2 @ LB2</t>
  </si>
  <si>
    <t xml:space="preserve">Shelves are installed and empty
</t>
  </si>
  <si>
    <t>06.08: completed</t>
  </si>
  <si>
    <t>ARCHIVES
- MAG 5.1</t>
  </si>
  <si>
    <t>Electrical installation to be completed + wall to be demolished
02.04. Final activities (EGGTELSA) to start 06.04</t>
  </si>
  <si>
    <t>ARCHIVES
- Move</t>
  </si>
  <si>
    <t>30.04: moves to start +/- 05.05</t>
  </si>
  <si>
    <t>SALLE C6
- VAR 544</t>
  </si>
  <si>
    <t>3.12: doors colours to be confirmed urgently.
15.01: door color has been confirmed.
12.02: Raised floor is completed
16.04: VAR 544 draft have been issued
14.05: Stair area to be put on hold
21.05: Staircase has been frozen, will be confirmed at a latter stage</t>
  </si>
  <si>
    <t>09.07: RPN to submit step 2</t>
  </si>
  <si>
    <t>SALLE 1
- EMERGENCY LIGHTING</t>
  </si>
  <si>
    <t>01.09: VAR has been issued</t>
  </si>
  <si>
    <t>23.07: Site visite on 24.07 to clarify scope of works.</t>
  </si>
  <si>
    <t>UNTV
- Temporary storage</t>
  </si>
  <si>
    <t>10.09: Insulation works on going.
UNTV to move in by the end of September</t>
  </si>
  <si>
    <t>10.09: RPN to confirm completion of the works
FMS to stop the heat circuit to allow relocation of radiator</t>
  </si>
  <si>
    <t>WINDOW FRAME
- to be EI rated</t>
  </si>
  <si>
    <t>WINDOW FRAME
- INS 461 / VAR 631 to be EI rated</t>
  </si>
  <si>
    <t>10.10: SOMBP to upload VAR 631 step 1</t>
  </si>
  <si>
    <t>COUNCIL CHAMBER
- VAR 625 - AV circuit brakers</t>
  </si>
  <si>
    <t>30.09: No new circuit brakers</t>
  </si>
  <si>
    <t>COUNCIL CHAMBER
- VAR 625 - Panel F15</t>
  </si>
  <si>
    <t>30.09: SHP issued Step 3.</t>
  </si>
  <si>
    <t>30.09: RPN to confirm commercial offer</t>
  </si>
  <si>
    <t>SALON TCHEQUE
- INS 478 - Lighting fixtures replacement</t>
  </si>
  <si>
    <t>Step 2 has beeen issued
30.07: INS 478 received,
01.09: RPN submitted a proposition</t>
  </si>
  <si>
    <t>17.09: SHP to comment RPN proposal</t>
  </si>
  <si>
    <t>LIFTS
- Intercom</t>
  </si>
  <si>
    <t>Commend system for all lifts starting with C</t>
  </si>
  <si>
    <t>03.09: SHP/RPN to organise a workshop
01.10: Refer to Vertical Transportation meetings</t>
  </si>
  <si>
    <t>UNTV
- Radiators</t>
  </si>
  <si>
    <t>01.10: RPN to confirm details</t>
  </si>
  <si>
    <t>UNTV
- Temporary door</t>
  </si>
  <si>
    <t>01.10: Temporary dust proofd¡ door is required to guarantee AV equipment installation.</t>
  </si>
  <si>
    <t>01.10: RPN to install temporary dust proof doors to UNTV area</t>
  </si>
  <si>
    <t>UNTV 
- Move out from Bldg E</t>
  </si>
  <si>
    <t>05.09: Urgent - RPN to coordinate with 3 P SMPTE 311 cables connection immediately.
Starting 08.09 - Temporary UNTV studio in Bldg. A L07 will be operational.
RPN to confirm control room 1 &amp; 2 and edit room 1&amp;2 readiness on 12.09 (as stated during 12 WLA).
Starting 15.09 - UNTV shutdown in building E.
-	RPN to coordinate with Visuals to start installing equipment in CAR.
19.09: UNTV confirmed move out 15.10</t>
  </si>
  <si>
    <t>03.09: SHP to confirm schedule of UNIS move out.
17.09: SHP to confirm schedule of UNIS move out.</t>
  </si>
  <si>
    <t>COUNCIL CHAMBER
- VAR 6xx Operator booth junction box 15/2</t>
  </si>
  <si>
    <t>22.10: Junction box is included in TD</t>
  </si>
  <si>
    <t>COUNCIL CHAMBER 
ADITIONAL CABLE TRAY
- IT cables VS F15 cables</t>
  </si>
  <si>
    <t>30.09: RPN to identify potential clashes between IT and small power cables</t>
  </si>
  <si>
    <t>SALON FRANCAIS
- Sockets</t>
  </si>
  <si>
    <t>15.10: 4 Sockets are empty box, recabling is dificult
22.10: RPN + SOM agree to permanently seal those 4 sockets</t>
  </si>
  <si>
    <t>15.10: RPN to confirm feasability
22.10: SHP/ RPN to agree on covering plate</t>
  </si>
  <si>
    <t>SALON TCHEQUE
- Door to Balcony</t>
  </si>
  <si>
    <t>30.09: Dwg approved</t>
  </si>
  <si>
    <t>30.09: RPN to procure and install the door</t>
  </si>
  <si>
    <t>SAS to COUNCIL CHAMBER
- 3 new doors</t>
  </si>
  <si>
    <t>30.09: RPN to procure and install the door (VIGANO)</t>
  </si>
  <si>
    <t>RFI 1391 - Meeting room</t>
  </si>
  <si>
    <t>30.09: Clash between installed sockets and required supports
RFI has been rejected.</t>
  </si>
  <si>
    <t>30.09: Commercial review based on existing VAR 299, 478 and INS.
RPN to reissue rejected RFI Daywork 1391</t>
  </si>
  <si>
    <t>PRESS BAR
- VAR 576 - Fire damper</t>
  </si>
  <si>
    <t>24.09: Conflict have been detected
23.10 Fire dampers have been installed.</t>
  </si>
  <si>
    <t>VAR 576
- FLS updates</t>
  </si>
  <si>
    <t>30.09: Fire evacuation plan dwg to be approved
SHP to upload status on Pmweb</t>
  </si>
  <si>
    <t>UNTV
- Temporary storage in S1</t>
  </si>
  <si>
    <t>01.10:</t>
  </si>
  <si>
    <t>01.10: RPN to check with SBIS for the use of the space
RPN to raise Fiche d'intervention
RPN to open temporary FR door</t>
  </si>
  <si>
    <t>UNTV
- Clean Site Clarification</t>
  </si>
  <si>
    <t>04.06: VIBRASTO is late +/- 2 weeks
VISUAL to confirm impact on substantial completion
11.06: VISUALS confirm no impact expected on SC
27.08: VISUALS Stop working in CAR due to lack of space in cable trays.
17.09: VISUALS to start working after RFI 1439 A is closed
08.10: FAR AR for Control &amp; Edit room planned 16.10
- Touch down &amp; Studio to be checked later
15.10: Final check of touch down</t>
  </si>
  <si>
    <t>01.10: RPN/ SHP to focus on T&amp;C
01.10: RPN to achieve clean site on 16.10</t>
  </si>
  <si>
    <t>COUNCIL CHAMBER
- VAR 625 - Trenches</t>
  </si>
  <si>
    <t>10.10: Site walks have been organised.
15.10: Target is to reduce the number of cables and avoid enlarging the trench
22.10: Assesment regarding IT and AV cables have been conducted
29.10: RPN confirmed the existing trench is fine</t>
  </si>
  <si>
    <t>PRESS BAR
- Access hatches</t>
  </si>
  <si>
    <t>01.10: RPN to require 2 additional access hatches</t>
  </si>
  <si>
    <t>PRESS BAR
- VAR 576 - 3+1 fire dampers</t>
  </si>
  <si>
    <t>29.10: Fire dampers have been installed</t>
  </si>
  <si>
    <t>01.10: RPN to install ASAP</t>
  </si>
  <si>
    <t>CAR
- cleaning</t>
  </si>
  <si>
    <t>UNTV
- DMX RFI 1439-B</t>
  </si>
  <si>
    <t>01.10: SHP comments issued today</t>
  </si>
  <si>
    <t>01.10: RPN to double check with OIBT controler (2 diferent sockets in the same box?)
Cable tray to be installed underneath.
Panel layout to be finalized.</t>
  </si>
  <si>
    <t>SALLE 1
- VAR 618 Emergency lighting</t>
  </si>
  <si>
    <t>09.10: SHP issued comments, + Step 3
05.11: Step 2 issued, cost agreed</t>
  </si>
  <si>
    <t>05.11: SHP to issue step 4</t>
  </si>
  <si>
    <t>Smoke extractor</t>
  </si>
  <si>
    <t>30.09: Smoke extarctor is in place</t>
  </si>
  <si>
    <t>LIFT 23
- Business Continuity</t>
  </si>
  <si>
    <t>13.10: actual lift is used by library Wenesday 10:00 to 12:00
05.11: Lift 23 is definitely turned of.</t>
  </si>
  <si>
    <t>VIGANO VAR 611
- Window frame Level 05-04-03</t>
  </si>
  <si>
    <t>08.10: Refer to VIGANO
30.09: Completion 2.5 weeks/ level after delivery
=&gt; Midle of december
15.10: Window frame to arrive 20.10.
29.10: instalation started at level 5</t>
  </si>
  <si>
    <t>03.11: due to bad experience on Bldg. A, windows to be cauciously inspected</t>
  </si>
  <si>
    <t>UNIS
- VAR 638 Additional Fire dampers</t>
  </si>
  <si>
    <t>4 Fire dampers to be installed.</t>
  </si>
  <si>
    <t>29.10 SHP to issue VAR step 1
05.11: VAR Canceled, Fire dampers included in TD</t>
  </si>
  <si>
    <t>UNTV
- Works</t>
  </si>
  <si>
    <t>23.07: Rails in studio to be installed in TV studio
Cabling started in Edit room
22.10: Architectural review have been conducted.
29.10: VISUAL to start in Control and Edit room.</t>
  </si>
  <si>
    <t>03.11: SHP to assess RPN pictures</t>
  </si>
  <si>
    <t>SALON FRANCAIS
- VAR 600 KASSKOFF</t>
  </si>
  <si>
    <t>DOOR C6 
- Architectural dwg</t>
  </si>
  <si>
    <t>28.10: SHP to comment dwg</t>
  </si>
  <si>
    <t>SALON TCHEQUE
- RFID 1446 Lighting fixtures</t>
  </si>
  <si>
    <t>22.10: RFI day work 1446 have been issued</t>
  </si>
  <si>
    <t>22.10: SHP to comment</t>
  </si>
  <si>
    <t>PANTRY &amp; PRINT ROOM
- Fixed furnitures delivery</t>
  </si>
  <si>
    <t>08.10: Fixed furniture to be delivered by 24.11</t>
  </si>
  <si>
    <t>UNTV
- Chilled beam</t>
  </si>
  <si>
    <t>01.10: Alignement to be checked</t>
  </si>
  <si>
    <t>COUNCIL CHAMBER
- Interpretor booth heating</t>
  </si>
  <si>
    <t>22.10: as per MINERGIE requirements &amp; SIA, existing heating coil should be updated.
17.11: No changes to be executed</t>
  </si>
  <si>
    <t>TOILET Final inspection</t>
  </si>
  <si>
    <t>30.09: RPN to invite for final inspection</t>
  </si>
  <si>
    <t>IT Room inspection</t>
  </si>
  <si>
    <t>17.09: Final Inspection of IT room L04-l02 BLDG C and FI IT installation VAR 239 BLDG S1 planned 01.10
Access control Test and Final Inspection follow up BLDG AB and FI IT room LB1 BLDG C planned 14-15.10
08.10: Installation is not in line with the overall design (but it works).
27.10: Final Inspection have been postponed to 30.10
01.11: Ceiling and wall to be finished, stair to be fixed.
10.11: Inspection failed
19.11: Inspection successful, Switches delivered.4</t>
  </si>
  <si>
    <t>DOOR C6 
- INS 477 Fire panel</t>
  </si>
  <si>
    <t>01.10: RPN requested a VAR. refused by SHP.
26.11: EGGTELSA have 4-5 weeks lead time</t>
  </si>
  <si>
    <t>01.10: RPN to issue daywork RFI.</t>
  </si>
  <si>
    <t>SALLE C6
- Works</t>
  </si>
  <si>
    <t>28.05: Floor box have been cut
30.07: Production is wainting for design. 3P is working in Bldg AB.
29.10: LED wall installation to start this week
03.12: NCF 334 has been approved</t>
  </si>
  <si>
    <t>VAR 515:
- Stair 6 lighting</t>
  </si>
  <si>
    <t>30.09: 12 weeks procurement on 
10.11: VAR under signature
12.11: Delivery by January
03.12: MAS have been approved by SOMBP
08.12: MAS have been approved by SHP</t>
  </si>
  <si>
    <t>CEILING</t>
  </si>
  <si>
    <t>12.11: Ceiling details to be approved</t>
  </si>
  <si>
    <t>UBS
- Opening ceremony</t>
  </si>
  <si>
    <t>08.05: In case an opening ceremony is organised (2-3 weeks before Operational readiness), UBS would like to be open that day.</t>
  </si>
  <si>
    <t>08.05: SHP to confirm if and when an opening ceremony will be organized</t>
  </si>
  <si>
    <t>Fire closure between Bldg C and AC
- Level LB01 and 00</t>
  </si>
  <si>
    <t>Connection between C and AC are open at level B1 and 00.
10.01: temporary Fire rated partitions and doors have been installed</t>
  </si>
  <si>
    <t>Cooling system</t>
  </si>
  <si>
    <t>18.11: RPN to confirm cooling system readiness</t>
  </si>
  <si>
    <t>Swithes delivery</t>
  </si>
  <si>
    <t>Rack elevation have been approved
03.09: T&amp;C meeting was run
16.09: RPN issue configuration request
22.10: RPN sent request for switch delivery L01 &amp; L03 Bldg. S
05.11: Final inspection to take place 06.11
17.11: Switches have been delivered
07.01: Permision to install the switches have been validated
21.01: ICTS is completing is work</t>
  </si>
  <si>
    <t>07.01: Network activation to be achieved +/- 22.01</t>
  </si>
  <si>
    <t xml:space="preserve">FR DOOR to Bldg AC
- NCF </t>
  </si>
  <si>
    <t>30.09: RPN to provide update on strategy regarding those doors</t>
  </si>
  <si>
    <t>VAR 576 - BLDG.C - FLS EL AND MH UPDATE</t>
  </si>
  <si>
    <t>23.12: Step 3 Rev.2 has been submitted</t>
  </si>
  <si>
    <t>RFID 1456 - CCO</t>
  </si>
  <si>
    <t>14.01: RPN received new quotation
21.01: RFI has been resubmitted
28.01: RFId has been approved</t>
  </si>
  <si>
    <t xml:space="preserve">BTR </t>
  </si>
  <si>
    <t>30.09: 2 Rack located in Bldg.S are not  connected to Bldg C.
22.10: SHP confirmed that all TR must be connected to BTR C as per TD LAN Design</t>
  </si>
  <si>
    <t>17.12: Final inspection postponed to 06.01.</t>
  </si>
  <si>
    <t>CAR
- Cooling T&amp;C + OIBT Certificate</t>
  </si>
  <si>
    <t>07.11: [Post 12WLA note] CAR PFT requires Cooling to be functioning
07.11: CAR will be ready for testing around 15.12
12.11: Cooling loop to be started in January
16.12: Final inspection was positive
16.12: Cooling system has been completed &amp; ready to be started
07.01: VERTIC system inspected, T&amp;C will be run after VISUALS complete instalation.
14.01: cooling loop to be turned on +/- 17.01</t>
  </si>
  <si>
    <t>COUNCIL CHAMBER
- INS 525 Speaker location</t>
  </si>
  <si>
    <t>08.12: INS 525 has been submitted
19.01: RFID 1473
21.01: Test have been run</t>
  </si>
  <si>
    <t>04.02: SHP to approve the report</t>
  </si>
  <si>
    <t>PRESS BAR
- VAR 647 Bldg C IT connection &amp; Electrical sockets</t>
  </si>
  <si>
    <t>08.12: actula design include 220V for coffee machine and cold room instead of 380V
10.12: SOMBP submited draft
29.02: Step 3 has been issued.
18.02: IT design is not part of CDP
04.03: Civil part has been implemented</t>
  </si>
  <si>
    <t>02.02: RPN to proceed
16.02: RPN to issue commercial proposal</t>
  </si>
  <si>
    <t>PRESS BAR
- Stone installation</t>
  </si>
  <si>
    <t>11.02: All stones have been delivered.
26.02: Floor completed, column clading on going</t>
  </si>
  <si>
    <t>Dario Cavalcoli</t>
  </si>
  <si>
    <t>PRESS BAR
- Stone mockup</t>
  </si>
  <si>
    <t>03.09: Stone to be delivered 1st batch 15.09 - 2nd batch 15.10
Bar to be install 15.11.
24.09: RPN is erecting the bench without apporved mockup
01.10: VIGANO to supply mock up by +/- 08/10.
15.10: Stone to be delivereed 16.10
29.10: preparatory works started.
03.11: cushion mock-up has been approved
18.02: Floor stone to be completed this week</t>
  </si>
  <si>
    <t>18.02: Bench mockup to be presented this week</t>
  </si>
  <si>
    <t>RFID 1477</t>
  </si>
  <si>
    <t>29.01: Approved</t>
  </si>
  <si>
    <t>COUNCIL CHAMBER
- INS 535 Coordination on AV equipment</t>
  </si>
  <si>
    <t>24.11: Perforation have not been executed as per approved dwg. due to non coordinated AV/ arch dwg.
01.12: INS 535 has been issued.
09.01: Step 2 has been issued, RFID 1486</t>
  </si>
  <si>
    <t>COUNCIL CHAMBER
- VAR 628 - AV VARIATION</t>
  </si>
  <si>
    <t>25.06 - Led wall adjustment (structure &amp; boxing).
26.11: TELEVIC to be on a separated VAR.
21.01: all electrical modifications linked to F15 panel to be included in this VAR
04.02: VAR is on signature.
11.02: VAR step 4 has been issued.</t>
  </si>
  <si>
    <t>TR 4
VAR 575 - AV TR move for Room 1</t>
  </si>
  <si>
    <t>03.12: No technical issue - but commercial
16.01: Commercial agreement
21.01: VAR 575 received by EGGTELSA, procurement on going
04.02: Step 4 has been issued</t>
  </si>
  <si>
    <t>SALLE C6
- Carpet</t>
  </si>
  <si>
    <t>11.02: Carpet installation to start 13.02</t>
  </si>
  <si>
    <t>18.02: Mockup of AV equipment + furniture will be displayed next week.</t>
  </si>
  <si>
    <t>FIRE DAMPERS
- INS 546</t>
  </si>
  <si>
    <t>28.01: Fire dampers to be installed per TD</t>
  </si>
  <si>
    <t>28.01: RPN to proceed</t>
  </si>
  <si>
    <t>IT System Integrator</t>
  </si>
  <si>
    <t>17.11: Guillermo announced its departure by end December</t>
  </si>
  <si>
    <t>17.11: RPN to urge replacement</t>
  </si>
  <si>
    <t>NCF 355
- Trench produced without approval of INGENI (Office next to Salle IV)</t>
  </si>
  <si>
    <t>03.11: Site visite have been organised. Trench vave been infiled with approved product
11.11: New trench have been open without the approval of INGENI</t>
  </si>
  <si>
    <t>03.11: RPN to properly level the floor and submit photos of executed works</t>
  </si>
  <si>
    <t>SAS to COUNCIL CHAMBER
- VAR 473 Ceiling finishes / Fire curtains</t>
  </si>
  <si>
    <t>See bellow L01 COUNCIL CHAMBER</t>
  </si>
  <si>
    <t>SALON TCHEQUE
- RFId 1446</t>
  </si>
  <si>
    <t>26.11: RPN/G&amp;T to achieve commercial agreement</t>
  </si>
  <si>
    <t>SALON TCHEQUE
- Recabling of balcony</t>
  </si>
  <si>
    <t>26.11: RPN to assess scope of work</t>
  </si>
  <si>
    <t>COUNCIL CHAMBER
- Curtains motor compatibility with KNX</t>
  </si>
  <si>
    <t>22.10: RPN have conducted preliminary test.
26.11: EGGTELSA confirmed that motors are compatible</t>
  </si>
  <si>
    <t>25.11: Issue has been detected on radiator of control room. radiator has been dismounted.
VISUALS is blocked for installing AV equipments.</t>
  </si>
  <si>
    <t>26.11: RPN to confirm planning of remedials works.</t>
  </si>
  <si>
    <t>UNTV
- Blinds &amp; Automatic windows INS 538</t>
  </si>
  <si>
    <t>21.11: Motorized windows were opened damaging the blinds
VISUALS will be delayed waitinf for blinds replacement
26.11: Replacement will be received
25.11: UNTV ventilation is ensured by double flow ventilation.
Motorized windows are not necessary
03.12: order has been confirmed
08.12: SOMBP issued INS 538.
09.12: VISUALS is stoped on 2 desks
17.12: Blinds have been replaced</t>
  </si>
  <si>
    <t>UNTV
- NCF 346 drilling of concrete slab</t>
  </si>
  <si>
    <t>25.07: NCF 346 will be issued concerning the drilling of the concrete slab in C.1-3 &amp; C.1-4</t>
  </si>
  <si>
    <t>UNTV
- VAR 612 (revision of VAR 173 - AV UNTV)</t>
  </si>
  <si>
    <t>14.05: VAR 173 to be re-open
14.05: RPN to raise RFI regarding BROADCAST CDP
RPN Design to be checked by sombp in case additional equipments are needed
23.12: Step 4 has been issued</t>
  </si>
  <si>
    <t>PRESS BAR
- STO ceiling Fire closure</t>
  </si>
  <si>
    <t>01.10: NCF 367 + related TCI</t>
  </si>
  <si>
    <t>PRESS BAR
- STO ceiling Finishes</t>
  </si>
  <si>
    <t>29.10: STO in bar area will be completed after bar equipment instalation
03.12: SHP issue comments</t>
  </si>
  <si>
    <t>PRESS BAR
- INS 273 Radiator</t>
  </si>
  <si>
    <t>INS issued 2023
RPN request a VAR</t>
  </si>
  <si>
    <t>PRESS BAR
- Resume of operation</t>
  </si>
  <si>
    <t>07.11: Press Bar to be operational next year
01.12: Cold room RPN mistake? Coffee machine SOMBP mistake?
03.12: VAR 647 has been issued</t>
  </si>
  <si>
    <t>SALLE C6
- Specific lighting fixtures</t>
  </si>
  <si>
    <t>07.01: All lighting have been approved</t>
  </si>
  <si>
    <t>AREAS NOT COVERED BY TD
- to be painted</t>
  </si>
  <si>
    <t>27.08: RPN to submit markup dwg to clarify areas not covered by TD to be painted.</t>
  </si>
  <si>
    <t>RFI 1391</t>
  </si>
  <si>
    <t>Meeting room AV
VAR 299</t>
  </si>
  <si>
    <t>02.04: [Ben lang] Room C427 is not accessible for disable
16.04: that RPN has all the information needed to proceed with the design of the AV - no need to issue a new INS since INS-352 contains the layout that RPN thought they were missing.
27.08: RFI 1391 have been rejected</t>
  </si>
  <si>
    <t>25.06: SOMBP / SHP to comment RFI 1391</t>
  </si>
  <si>
    <t>T&amp;C
- Section of works</t>
  </si>
  <si>
    <t>Section of works Testing &amp; commissioning plan</t>
  </si>
  <si>
    <t>16.10: to be submitted 6 months before Substantial completion</t>
  </si>
  <si>
    <t>16.10: RPN to submit updated Section Of Works T&amp;C plan</t>
  </si>
  <si>
    <t>T&amp;C
- IT Network Activation</t>
  </si>
  <si>
    <t>Pre-requisite</t>
  </si>
  <si>
    <t xml:space="preserve">19.11: activation +/- 2-3 weeks 15.12
UPS panel Final inspection </t>
  </si>
  <si>
    <r>
      <rPr>
        <sz val="11"/>
        <rFont val="Calibri"/>
        <family val="2"/>
        <scheme val="minor"/>
      </rPr>
      <t xml:space="preserve">14.01: sliding door dwg to be submitted this week. (@ entrance C6)
28.01: Dorma kabba taking measurements to issue dwg
03.02: RPN to submit Coordinated dwg.
VAR to bedetermined.
04.02: step 4 (determination) on signature.
18.02 step 4 signed
18.02: RPN to issue dwg
</t>
    </r>
    <r>
      <rPr>
        <sz val="11"/>
        <color rgb="FF7030A0"/>
        <rFont val="Calibri"/>
        <family val="2"/>
        <scheme val="minor"/>
      </rPr>
      <t>25.02: RPN / SOMBP to coordinate dwg</t>
    </r>
  </si>
  <si>
    <r>
      <t>14.01: Dwg submitted by RPN.
Pxt MH dwg + ATI dwg to be subm</t>
    </r>
    <r>
      <rPr>
        <sz val="10"/>
        <rFont val="Calibri"/>
        <family val="2"/>
        <scheme val="minor"/>
      </rPr>
      <t>itted this week.
21.01: SOMBP / SHP to comment
28.01: SOMBP / SHP to comment</t>
    </r>
    <r>
      <rPr>
        <sz val="10"/>
        <color rgb="FF7030A0"/>
        <rFont val="Calibri"/>
        <family val="2"/>
        <scheme val="minor"/>
      </rPr>
      <t xml:space="preserve">
25.02: [Bldg A] SHP to revise including Concordia.</t>
    </r>
  </si>
  <si>
    <t>R-VAR-0526</t>
  </si>
  <si>
    <t>04.06: VAR is put on hold.</t>
  </si>
  <si>
    <t>VAR 456</t>
  </si>
  <si>
    <t>COUNCIL CHAMBER EMERGENCY Light</t>
  </si>
  <si>
    <t>08.10: Cables will not be changed</t>
  </si>
  <si>
    <t>VAR 417</t>
  </si>
  <si>
    <t>COUNCIL CHAMBER HEATING COILS BMS</t>
  </si>
  <si>
    <t>03.10: RPN to confirm status on site</t>
  </si>
  <si>
    <t>VAR 294</t>
  </si>
  <si>
    <t>03.10: RPN to confirm implementation in door schedule</t>
  </si>
  <si>
    <t>VAR 175</t>
  </si>
  <si>
    <t>PARKING P3 drainage</t>
  </si>
  <si>
    <t>03.10: RPN to confirm feasability before S/C</t>
  </si>
  <si>
    <t>QUALITY
Pre-reception procedure</t>
  </si>
  <si>
    <t xml:space="preserve">30.04: No clear procedure </t>
  </si>
  <si>
    <t>30.04: RPN/ SHP to clarify on site pre-reception procedure.
21.05: SBIS to confirm</t>
  </si>
  <si>
    <t>HANDRAIL in STAIRCASE 5</t>
  </si>
  <si>
    <t>30.09: Handrail already produced</t>
  </si>
  <si>
    <t>30.09: RPN to update dwg</t>
  </si>
  <si>
    <t>SECURITY Dwg</t>
  </si>
  <si>
    <t>30.09: RPN to organize a session to clear topics on rejected dwg
23.10: RPN to share excell files, SOMBP/ SHP to assess</t>
  </si>
  <si>
    <t>SALLE IV
- INS 5 Perforation from Salle IV to Salon Français (emergency light)</t>
  </si>
  <si>
    <r>
      <rPr>
        <sz val="11"/>
        <color rgb="FF000000"/>
        <rFont val="Calibri"/>
        <family val="2"/>
        <scheme val="minor"/>
      </rPr>
      <t>30.09: Cut in carpet have been done
SHP require to move rack from Salle IV to xxx
12.11: Conduit have been installed
RPN to inform SOMBP/ SHP of any structural modification</t>
    </r>
  </si>
  <si>
    <t>30.09: RPN to present works
22.10: RPN to install conduit
22.10: SHP to issue INS (RPN will issue RFI daywork)</t>
  </si>
  <si>
    <t>ROOF</t>
  </si>
  <si>
    <t>30.09: Works have been inspected 2 years ago.</t>
  </si>
  <si>
    <t>30.09: Works to be tested</t>
  </si>
  <si>
    <t>SALON FRANCAIS
- Wifi</t>
  </si>
  <si>
    <t>05.11: 1 Wifi can not been installed as designed
12.11: 1 WIFI is suficiant per predictive survey
19.11: RPN to proceed with 1 WIFI. efficiency to be check at S.C.</t>
  </si>
  <si>
    <t>12.11: RPN to initiate physical survey. KYOS to intervene on site.
19.11: RPN to proceed with 1 WIFI</t>
  </si>
  <si>
    <r>
      <rPr>
        <sz val="11"/>
        <color rgb="FF000000"/>
        <rFont val="Calibri"/>
        <family val="2"/>
        <scheme val="minor"/>
      </rPr>
      <t xml:space="preserve">07.01: EGGTELSA is working on site, but not attending any meeting
</t>
    </r>
    <r>
      <rPr>
        <sz val="11"/>
        <color rgb="FF00B0F0"/>
        <rFont val="Calibri"/>
        <family val="2"/>
        <scheme val="minor"/>
      </rPr>
      <t>14.01: EGGTELSA / RPN Commercial discussion are ongoing</t>
    </r>
  </si>
  <si>
    <t>SALLE IV (Salon Roumain)
- Connection between Salle IV &amp; C210</t>
  </si>
  <si>
    <t>02.10: SHP shared dwg
02.10: RPN to install duct.
Cat.7 cable will be pulled by FMS.
15.10: RPN Have requested offer to EGGTELSA
05.11: Works ongoing</t>
  </si>
  <si>
    <t>COUNCIL CHAMBER
- AV DESIGN</t>
  </si>
  <si>
    <t>15.01: Dwg uploaded on pmweb</t>
  </si>
  <si>
    <t>17.12: RPN to asses potential dwg to be resubmted/ checked/ assessed</t>
  </si>
  <si>
    <t>FIXED FURNITURES DESCOPE
- VAR 64 / INS 528</t>
  </si>
  <si>
    <t>29.10: dwg have been approved including furnitures that were descope with VAR 64.
30.10: SHP email RPN
27.11: INS 528 has been submitted
10.12: VAR needed, cable to be replaced, cable to run at level B01</t>
  </si>
  <si>
    <t>03.12: SHP to update Sketch (bulkhead is clashing with ventilation duct)</t>
  </si>
  <si>
    <t>SALLE C6
- Furniture delivery</t>
  </si>
  <si>
    <r>
      <rPr>
        <sz val="11"/>
        <color rgb="FF000000"/>
        <rFont val="Calibri"/>
        <family val="2"/>
        <scheme val="minor"/>
      </rPr>
      <t xml:space="preserve">27.10: delivery by the 3rd week of january.
29.10: completion of salle C5 by end of march.
22.12: Furnitures will be delivered by 14.01.
</t>
    </r>
    <r>
      <rPr>
        <sz val="11"/>
        <color rgb="FF00B0F0"/>
        <rFont val="Calibri"/>
        <family val="2"/>
        <scheme val="minor"/>
      </rPr>
      <t>14.01: Furnitures have been delivered.</t>
    </r>
  </si>
  <si>
    <t>SALLE C6
- Raised floor NCF 374</t>
  </si>
  <si>
    <t>12.12: QI 544 have been updated.
21.01: NCF has been closed</t>
  </si>
  <si>
    <t>Existing cables transiting through vertical escape route</t>
  </si>
  <si>
    <t>03.12: Vertical escape route (Stair 6) = cables to be covered (EI30)
17.12: SOMBP issued INS (cables to be encased over 20m)</t>
  </si>
  <si>
    <t>17.12: RPN to assess potential cable replacement</t>
  </si>
  <si>
    <t>INS 496
Radiator</t>
  </si>
  <si>
    <t>03.12: RPN requires VAR</t>
  </si>
  <si>
    <t>MAS 442 &amp; 443</t>
  </si>
  <si>
    <t>Acoustical foam</t>
  </si>
  <si>
    <t>11.06: SOMBP alerted Kopitsis
18.06: SOMBP refused the MAS (Highly inflamable + low acoustical performance)</t>
  </si>
  <si>
    <t>09.07: RPN to comment
06.08: RPN will send an email.</t>
  </si>
  <si>
    <t>Owner Name</t>
  </si>
  <si>
    <t>Email</t>
  </si>
  <si>
    <t>Owner ORG</t>
  </si>
  <si>
    <t>Role</t>
  </si>
  <si>
    <t>Main ORG</t>
  </si>
  <si>
    <t>No sharepoint</t>
  </si>
  <si>
    <t>NameforMondayemail</t>
  </si>
  <si>
    <t>ACRONYM</t>
  </si>
  <si>
    <t>donatella.rocca@un.org</t>
  </si>
  <si>
    <t>MSTEP</t>
  </si>
  <si>
    <t>TBC</t>
  </si>
  <si>
    <t>SOMBP</t>
  </si>
  <si>
    <t>abigail@mstep.co.uk</t>
  </si>
  <si>
    <t>Abigail</t>
  </si>
  <si>
    <t>Alan McBryan</t>
  </si>
  <si>
    <t>alan.mcbryan@aecom.com</t>
  </si>
  <si>
    <t>AECOM</t>
  </si>
  <si>
    <t>MEP Manager</t>
  </si>
  <si>
    <t>Alan</t>
  </si>
  <si>
    <t>Alastair Wolstenholme</t>
  </si>
  <si>
    <t>a.wolstenholme@gardiner.com</t>
  </si>
  <si>
    <t>G&amp;T</t>
  </si>
  <si>
    <t>Senior Associate - Cost Management and Contract Administration</t>
  </si>
  <si>
    <t>Alastair</t>
  </si>
  <si>
    <t>Alberto Mastrangelo</t>
  </si>
  <si>
    <t>pme_to.srl@libero.it</t>
  </si>
  <si>
    <t>PME</t>
  </si>
  <si>
    <t>RPN</t>
  </si>
  <si>
    <t>Alberto</t>
  </si>
  <si>
    <t>Alex Graham</t>
  </si>
  <si>
    <t>alexander.graham1@un.org</t>
  </si>
  <si>
    <t>SHP</t>
  </si>
  <si>
    <t>Cost Management</t>
  </si>
  <si>
    <t>Alex</t>
  </si>
  <si>
    <t>Alexandre ROUVELET</t>
  </si>
  <si>
    <t>alexandre.rouvelet@projection-nouvelle.com</t>
  </si>
  <si>
    <t xml:space="preserve"> Overall System Engineer</t>
  </si>
  <si>
    <t>Alexandre</t>
  </si>
  <si>
    <t>Alessandro Manfredi</t>
  </si>
  <si>
    <t>Alistair Wade</t>
  </si>
  <si>
    <t>a.wade@gardiner.com</t>
  </si>
  <si>
    <t>Alistair</t>
  </si>
  <si>
    <t>amos.anderini@rpn-sa.ch</t>
  </si>
  <si>
    <t>Deputy HSE &amp; Security Manager</t>
  </si>
  <si>
    <t>Amos</t>
  </si>
  <si>
    <t>Andrea Falchi</t>
  </si>
  <si>
    <t>andrea.falchi@c2be.uno</t>
  </si>
  <si>
    <t>C2BE</t>
  </si>
  <si>
    <t>Andrea</t>
  </si>
  <si>
    <t>ahoffmann@hoffmannart.ch</t>
  </si>
  <si>
    <t>Heritage/Art Expert</t>
  </si>
  <si>
    <t>Andrea Sigona</t>
  </si>
  <si>
    <t>bob.wyse@som.com</t>
  </si>
  <si>
    <t>Senior Architect</t>
  </si>
  <si>
    <t>Bob</t>
  </si>
  <si>
    <t>Andrea VANOSSI</t>
  </si>
  <si>
    <t>a.vanossi@gmail.com</t>
  </si>
  <si>
    <t xml:space="preserve"> BIM Manager</t>
  </si>
  <si>
    <t>Andrei Misaila</t>
  </si>
  <si>
    <t>septimiu.misaila@un.org</t>
  </si>
  <si>
    <t>UN</t>
  </si>
  <si>
    <t>Andrei</t>
  </si>
  <si>
    <t>Barry Poling</t>
  </si>
  <si>
    <t>barry.poling@aspenglobal.co.uk</t>
  </si>
  <si>
    <t>ASPEN</t>
  </si>
  <si>
    <t xml:space="preserve">Lean Consultant </t>
  </si>
  <si>
    <t>Barry</t>
  </si>
  <si>
    <t>Ben Lang</t>
  </si>
  <si>
    <t>blang@smwllc.com</t>
  </si>
  <si>
    <t>SMW</t>
  </si>
  <si>
    <t>Ben</t>
  </si>
  <si>
    <t>benoit.renault@un.org</t>
  </si>
  <si>
    <t>Senior Electrical Engineer</t>
  </si>
  <si>
    <t>Benoit</t>
  </si>
  <si>
    <t>Bernard Mégevand</t>
  </si>
  <si>
    <t>bernard.megevand@sbis.ch</t>
  </si>
  <si>
    <t>SBIS</t>
  </si>
  <si>
    <t>Bernard</t>
  </si>
  <si>
    <t>Bhav</t>
  </si>
  <si>
    <t>bhav@mstep.co.uk</t>
  </si>
  <si>
    <t>Billy Clayton</t>
  </si>
  <si>
    <t>b.clayton@Gardiner.com</t>
  </si>
  <si>
    <t>Billy</t>
  </si>
  <si>
    <t>Blaise BOURGEOIS</t>
  </si>
  <si>
    <t>bb@oxalis-landscape.ch</t>
  </si>
  <si>
    <t xml:space="preserve"> Associate Director</t>
  </si>
  <si>
    <t>Blaise</t>
  </si>
  <si>
    <t>Bob Wyse</t>
  </si>
  <si>
    <t>Architect</t>
  </si>
  <si>
    <t>Calum Redfern</t>
  </si>
  <si>
    <t>c.redfern@gardiner.com</t>
  </si>
  <si>
    <t>Calum</t>
  </si>
  <si>
    <t>Catherine Isabella</t>
  </si>
  <si>
    <t>catherine.isabella@burckhardt.swiss</t>
  </si>
  <si>
    <t>Catherine</t>
  </si>
  <si>
    <t>ce@erard.biz</t>
  </si>
  <si>
    <t>Cedric</t>
  </si>
  <si>
    <t>cedric.kusendova@un.org</t>
  </si>
  <si>
    <t>Charles de Crisenoy</t>
  </si>
  <si>
    <t>didier.dequatre@un.org</t>
  </si>
  <si>
    <t>Quality  Manager</t>
  </si>
  <si>
    <t>Didier</t>
  </si>
  <si>
    <t>chiara.redepaolini@rpn-sa.ch</t>
  </si>
  <si>
    <t>Arch Design Specialist</t>
  </si>
  <si>
    <t>Chiara</t>
  </si>
  <si>
    <t>Chris Welch</t>
  </si>
  <si>
    <t>c.welch@gardiner.com</t>
  </si>
  <si>
    <t>Chris</t>
  </si>
  <si>
    <t>Christian Bona</t>
  </si>
  <si>
    <t>christian.bona@rpn-sa.ch</t>
  </si>
  <si>
    <t>Christian</t>
  </si>
  <si>
    <t>porracin@un.org</t>
  </si>
  <si>
    <t>Security Site Construction Management</t>
  </si>
  <si>
    <t>Cinzia</t>
  </si>
  <si>
    <t>c.omalley@gardiner.com</t>
  </si>
  <si>
    <t>Clare</t>
  </si>
  <si>
    <t>Consuelo Crespi</t>
  </si>
  <si>
    <t>consuelo.crespi@csc-sa.ch</t>
  </si>
  <si>
    <t>H&amp;S Manager</t>
  </si>
  <si>
    <t>Consuelo</t>
  </si>
  <si>
    <t>Cormac Mc Gavigan</t>
  </si>
  <si>
    <t>cormac.mcgavigan@csc-sa.ch</t>
  </si>
  <si>
    <t>Electrical Design Lead</t>
  </si>
  <si>
    <t>Cormac</t>
  </si>
  <si>
    <t>Craig McLellan</t>
  </si>
  <si>
    <t>c.mclellan@gardiner.com</t>
  </si>
  <si>
    <t>Partner - Cost Management</t>
  </si>
  <si>
    <t>Craig</t>
  </si>
  <si>
    <t>Damien Fesselet</t>
  </si>
  <si>
    <t>damien@ecoservices.ch</t>
  </si>
  <si>
    <t>Ecoservices</t>
  </si>
  <si>
    <t>Damien</t>
  </si>
  <si>
    <t>Damien Papuchon</t>
  </si>
  <si>
    <t>damien.papuchon@un.org</t>
  </si>
  <si>
    <t>Danielle Boyd</t>
  </si>
  <si>
    <t>danielle.boyd@burckhardt.swiss</t>
  </si>
  <si>
    <t>Danielle</t>
  </si>
  <si>
    <t>dario.cavalcoli@un.org</t>
  </si>
  <si>
    <t>Senior Architect  - Lead PCS</t>
  </si>
  <si>
    <t>Paolo</t>
  </si>
  <si>
    <t>David Goetz</t>
  </si>
  <si>
    <t>dgoetz@smwllc.com</t>
  </si>
  <si>
    <t>David</t>
  </si>
  <si>
    <t>David Heison</t>
  </si>
  <si>
    <t>david.heison@un.org</t>
  </si>
  <si>
    <t>Handover and Commissioning Management</t>
  </si>
  <si>
    <t>David R. HARVEY</t>
  </si>
  <si>
    <t>david@hmb-a.com</t>
  </si>
  <si>
    <t>Associate</t>
  </si>
  <si>
    <t>davide.cirillo@cmbcarpi.it</t>
  </si>
  <si>
    <t>Davide</t>
  </si>
  <si>
    <t>Deán de Klerk</t>
  </si>
  <si>
    <t>dean.deklerk@un.org</t>
  </si>
  <si>
    <t>Project Schedule Manager</t>
  </si>
  <si>
    <t>Deán</t>
  </si>
  <si>
    <t>didier.chessel@un.org</t>
  </si>
  <si>
    <t>Health and Security Coordinator</t>
  </si>
  <si>
    <t>Quality Manager</t>
  </si>
  <si>
    <t>Dima Khoury</t>
  </si>
  <si>
    <t>dima.khoury@un.org</t>
  </si>
  <si>
    <t>Dima</t>
  </si>
  <si>
    <t>Dominic Walther</t>
  </si>
  <si>
    <t>dominic.walther@burckhardt.swiss</t>
  </si>
  <si>
    <t>Design and Construction Director</t>
  </si>
  <si>
    <t>Dominic</t>
  </si>
  <si>
    <t>Dominique Hirigoyen</t>
  </si>
  <si>
    <t>dominique.hirigoyen@un.org</t>
  </si>
  <si>
    <t>electronic engineering technician</t>
  </si>
  <si>
    <t>Dominique</t>
  </si>
  <si>
    <t>Documents Manager</t>
  </si>
  <si>
    <t>Donatella</t>
  </si>
  <si>
    <t>DOR_D</t>
  </si>
  <si>
    <t>DOR_N</t>
  </si>
  <si>
    <t>DOR_M</t>
  </si>
  <si>
    <t>DOR_P</t>
  </si>
  <si>
    <t>natalie.hilen@un.org</t>
  </si>
  <si>
    <t>Natalie</t>
  </si>
  <si>
    <t>Dounia Zine</t>
  </si>
  <si>
    <t>dounia.zine@csc-sa.ch</t>
  </si>
  <si>
    <t>Document Manager</t>
  </si>
  <si>
    <t>Dounia</t>
  </si>
  <si>
    <t>ionescud@un.org</t>
  </si>
  <si>
    <t>ICTS Operational Expert</t>
  </si>
  <si>
    <t>Dragos</t>
  </si>
  <si>
    <t>Elaine Hunter</t>
  </si>
  <si>
    <t>e.hunter@gardiner.com</t>
  </si>
  <si>
    <t>Elaine</t>
  </si>
  <si>
    <t>Elliot Cordery</t>
  </si>
  <si>
    <t>e.cordery@gardiner.com</t>
  </si>
  <si>
    <t>Elliot</t>
  </si>
  <si>
    <t>Elsa Briot</t>
  </si>
  <si>
    <t>elsa.briot@som.com</t>
  </si>
  <si>
    <t>Project Manager</t>
  </si>
  <si>
    <t>Elsa</t>
  </si>
  <si>
    <t>Emerson Njouokou</t>
  </si>
  <si>
    <t>emerson.njouokou@nembrini.com</t>
  </si>
  <si>
    <t>NEMV</t>
  </si>
  <si>
    <t>Emerson</t>
  </si>
  <si>
    <t>Emilio Mariani</t>
  </si>
  <si>
    <t>emilio.mariani@csc-sa.ch</t>
  </si>
  <si>
    <t>Business Continuity Manager</t>
  </si>
  <si>
    <t>Emilio</t>
  </si>
  <si>
    <t>Eric Dubouloz</t>
  </si>
  <si>
    <t>eric@ecoservices.ch</t>
  </si>
  <si>
    <t>Eric</t>
  </si>
  <si>
    <t>Eric JAZARGUER</t>
  </si>
  <si>
    <t>e.jazarguer@eggtelsa.com</t>
  </si>
  <si>
    <t>Eggtelsa</t>
  </si>
  <si>
    <t>KNX expert</t>
  </si>
  <si>
    <t>Eric Oller</t>
  </si>
  <si>
    <t>eric.oller@un.org</t>
  </si>
  <si>
    <t>Ethan Liu</t>
  </si>
  <si>
    <t>ethan.liu@som.com</t>
  </si>
  <si>
    <t>Ethan</t>
  </si>
  <si>
    <t>Fabio Marcelli</t>
  </si>
  <si>
    <t>fabio.marcelli@csc-sa.ch</t>
  </si>
  <si>
    <t>Fabio</t>
  </si>
  <si>
    <t>federica.brunone@cmbcarpi.it</t>
  </si>
  <si>
    <t>Engineering Chief &amp; Move Manager</t>
  </si>
  <si>
    <t>Federica</t>
  </si>
  <si>
    <t>Federica Chiericato</t>
  </si>
  <si>
    <t>federica.chiericato@csc-sa.ch</t>
  </si>
  <si>
    <t>Design programme change manager</t>
  </si>
  <si>
    <t>Fiona Esler</t>
  </si>
  <si>
    <t>fiona@mstep.co.uk</t>
  </si>
  <si>
    <t>Fiona</t>
  </si>
  <si>
    <t>Florian Cochard</t>
  </si>
  <si>
    <t>f.cochard@eggtelsa.com</t>
  </si>
  <si>
    <t>Electrical Engineer</t>
  </si>
  <si>
    <t>Florian</t>
  </si>
  <si>
    <t>Francesco Pieri</t>
  </si>
  <si>
    <t>francesco.pieri@rpn-sa.ch</t>
  </si>
  <si>
    <t>HSE Assistant</t>
  </si>
  <si>
    <t>Francesco</t>
  </si>
  <si>
    <t>Francesco Sambucini</t>
  </si>
  <si>
    <t>francesco.sambucini@rpn-sa.ch</t>
  </si>
  <si>
    <t xml:space="preserve">HSE Deputy Manager </t>
  </si>
  <si>
    <t>Franck Reynaud</t>
  </si>
  <si>
    <t>Visuals</t>
  </si>
  <si>
    <t>franck@visuals.ch</t>
  </si>
  <si>
    <t>Frank</t>
  </si>
  <si>
    <t>Frank Lambelet</t>
  </si>
  <si>
    <t>lambelet@bcs-facades.ch</t>
  </si>
  <si>
    <t>Bcs facades</t>
  </si>
  <si>
    <t>Frederic Solda</t>
  </si>
  <si>
    <t>frederic.solda@csc-sa.ch</t>
  </si>
  <si>
    <t>Planner Manager</t>
  </si>
  <si>
    <t>Frederic</t>
  </si>
  <si>
    <t>Gabriele Provenzale</t>
  </si>
  <si>
    <t>gabriele.provenzale@csc-sa.ch</t>
  </si>
  <si>
    <t>Design/Construction Manager CSA</t>
  </si>
  <si>
    <t>Gabriele</t>
  </si>
  <si>
    <t>Gary Thornton</t>
  </si>
  <si>
    <t>gary@nultylighting.co.uk</t>
  </si>
  <si>
    <t>Lighting</t>
  </si>
  <si>
    <t>Gary</t>
  </si>
  <si>
    <t>Geoffrey Pillitteri</t>
  </si>
  <si>
    <t>geoffrey.pillitteri@un.org</t>
  </si>
  <si>
    <t>Geoffrey</t>
  </si>
  <si>
    <t>Gerald Robinson</t>
  </si>
  <si>
    <t>gerald@aspenglobal.co.uk</t>
  </si>
  <si>
    <t>Gerald</t>
  </si>
  <si>
    <t>Giada Savini</t>
  </si>
  <si>
    <t>giada.savini@rpn-sa.ch</t>
  </si>
  <si>
    <t>Giada</t>
  </si>
  <si>
    <t>gianluca.crippa@rpn-sa.ch</t>
  </si>
  <si>
    <t>Construction Manager</t>
  </si>
  <si>
    <t>Gianluca</t>
  </si>
  <si>
    <t>Giulia Amendola</t>
  </si>
  <si>
    <t>giulia.amendola@rpn-sa.ch</t>
  </si>
  <si>
    <t>Giulia</t>
  </si>
  <si>
    <t>Giulia Putaturo</t>
  </si>
  <si>
    <t>g.putaturo@fratellinavarra.it</t>
  </si>
  <si>
    <t>Goran Josipovic</t>
  </si>
  <si>
    <t>goran.josipovic@wsp.com</t>
  </si>
  <si>
    <t>Lift</t>
  </si>
  <si>
    <t>Goran</t>
  </si>
  <si>
    <t>Gregory Baubiet</t>
  </si>
  <si>
    <t>lucille.treilledegrandsaigne@burckhardt.swiss</t>
  </si>
  <si>
    <t>Gregory</t>
  </si>
  <si>
    <t>Guillermo Garcia</t>
  </si>
  <si>
    <t>guillermo.garcia@afry.com</t>
  </si>
  <si>
    <t>AFRY</t>
  </si>
  <si>
    <t>Guillermo</t>
  </si>
  <si>
    <t>hacir.degirmencioglu@rpn-sa.ch</t>
  </si>
  <si>
    <t>Hacir</t>
  </si>
  <si>
    <t>Hamza Haouass</t>
  </si>
  <si>
    <t>hamza.haouass@csc-sa.ch</t>
  </si>
  <si>
    <t>Hamza</t>
  </si>
  <si>
    <t>Helen Shreeve</t>
  </si>
  <si>
    <t>h.shreeve@gardiner.com</t>
  </si>
  <si>
    <t>Helen</t>
  </si>
  <si>
    <t>Ibtisam Naym</t>
  </si>
  <si>
    <t>ibtisam.naym@rpn-sa.ch</t>
  </si>
  <si>
    <t>Ibtisam</t>
  </si>
  <si>
    <t>Ishac Koussa</t>
  </si>
  <si>
    <t>ishac.koussa@som.com</t>
  </si>
  <si>
    <t>Ishac</t>
  </si>
  <si>
    <t>Jaime Gutierrez</t>
  </si>
  <si>
    <t>jaime.gutierrez@burckhardt.swiss</t>
  </si>
  <si>
    <t>Jaime</t>
  </si>
  <si>
    <t>James Staunton</t>
  </si>
  <si>
    <t>james.staunton@aecom.com</t>
  </si>
  <si>
    <t>James</t>
  </si>
  <si>
    <t>Jean-Marc Glinz</t>
  </si>
  <si>
    <t>jean-marc.glinz@un.org</t>
  </si>
  <si>
    <t>Chief of unit, Public information</t>
  </si>
  <si>
    <t>Jean-Marc</t>
  </si>
  <si>
    <t>jean.ferre@un.org</t>
  </si>
  <si>
    <t>Design Manager (DM)</t>
  </si>
  <si>
    <t>Jean-Mathieu</t>
  </si>
  <si>
    <t>Jeremy Theniere</t>
  </si>
  <si>
    <t>jeremy.theniere1@un.org</t>
  </si>
  <si>
    <t>Move expert</t>
  </si>
  <si>
    <t>Jeremy</t>
  </si>
  <si>
    <t>Jérôme Colder</t>
  </si>
  <si>
    <t>j.colder@jdrenergies.ch</t>
  </si>
  <si>
    <t>Jérôme</t>
  </si>
  <si>
    <t>Jérome MATRINGE</t>
  </si>
  <si>
    <t>jerome.matringe@projection-nouvelle.com</t>
  </si>
  <si>
    <t xml:space="preserve"> Technical on-site Manager</t>
  </si>
  <si>
    <t>Jérome</t>
  </si>
  <si>
    <t>Jérôme POCHAT</t>
  </si>
  <si>
    <t>jerome.pochat@ingeni.ch</t>
  </si>
  <si>
    <t xml:space="preserve"> Partner</t>
  </si>
  <si>
    <t>Cost Control Manager</t>
  </si>
  <si>
    <t>Jessica</t>
  </si>
  <si>
    <t>Joachim de Roquefeuil</t>
  </si>
  <si>
    <t>joachim.deroquefeuil@sbis.ch</t>
  </si>
  <si>
    <t>Joachim</t>
  </si>
  <si>
    <t>Joe Gul</t>
  </si>
  <si>
    <t>j.gul@gardiner.com</t>
  </si>
  <si>
    <t>Assistant Cost Management and Contract Administration</t>
  </si>
  <si>
    <t>Joe</t>
  </si>
  <si>
    <t>Joel Benghiat</t>
  </si>
  <si>
    <t>joel.benghiat@nembrini.com</t>
  </si>
  <si>
    <t>NEMB</t>
  </si>
  <si>
    <t>Joel</t>
  </si>
  <si>
    <t>John Rutter</t>
  </si>
  <si>
    <t>john@aspenglobal.co.uk</t>
  </si>
  <si>
    <t>John</t>
  </si>
  <si>
    <t>Joseph Christi</t>
  </si>
  <si>
    <t>jchristi@smwllc.com</t>
  </si>
  <si>
    <t>Joseph</t>
  </si>
  <si>
    <t>Josiah Abraham</t>
  </si>
  <si>
    <t>josiah@mstep.co.uk</t>
  </si>
  <si>
    <t>Mechanical Engineer</t>
  </si>
  <si>
    <t>Josiah</t>
  </si>
  <si>
    <t>Julia Skeete</t>
  </si>
  <si>
    <t>julia.skeete@som.com</t>
  </si>
  <si>
    <t>Project Director (PD)</t>
  </si>
  <si>
    <t>Julia</t>
  </si>
  <si>
    <t>kateryna.starykova@un.org</t>
  </si>
  <si>
    <t>Kateryna</t>
  </si>
  <si>
    <t>Katherine Pink</t>
  </si>
  <si>
    <t>katherine.pink@som.com</t>
  </si>
  <si>
    <t>Katherine</t>
  </si>
  <si>
    <t>Kayci BROWNE</t>
  </si>
  <si>
    <t>kbrowne@un.org</t>
  </si>
  <si>
    <t xml:space="preserve"> Transition Program. Manag. Officer</t>
  </si>
  <si>
    <t>Kayci</t>
  </si>
  <si>
    <t>Kenneth Potgieter</t>
  </si>
  <si>
    <t>k.potgieter@gardiner.com</t>
  </si>
  <si>
    <t>Kenneth</t>
  </si>
  <si>
    <t>Laetitia Menin</t>
  </si>
  <si>
    <t>laetitia.menin@un.org</t>
  </si>
  <si>
    <t xml:space="preserve"> Engineer, Buildings Unit, Facility Management Section</t>
  </si>
  <si>
    <t>Laetitia</t>
  </si>
  <si>
    <t>Laurent Sailler</t>
  </si>
  <si>
    <t>laurent.sailler@rapp.ch</t>
  </si>
  <si>
    <t>RAPP</t>
  </si>
  <si>
    <t>Laurent</t>
  </si>
  <si>
    <t>Leonardo Castellani</t>
  </si>
  <si>
    <t>leonardo.castellani@trepi.it</t>
  </si>
  <si>
    <t>3PI</t>
  </si>
  <si>
    <t>AV and Broadcast Expert</t>
  </si>
  <si>
    <t>Leonardo</t>
  </si>
  <si>
    <t>Leonardo Deliaj</t>
  </si>
  <si>
    <t>sldeliaj@dallmanagement.com</t>
  </si>
  <si>
    <t>leonardo.valentinotti@rpn-sa.ch</t>
  </si>
  <si>
    <t>Deputy Quality Manager</t>
  </si>
  <si>
    <t>Liliana Sanches Le Saux</t>
  </si>
  <si>
    <t>liliana.lesaux@gmail.com</t>
  </si>
  <si>
    <t>Architect / Accessibility</t>
  </si>
  <si>
    <t>Liliana</t>
  </si>
  <si>
    <t>Lionel Perrin</t>
  </si>
  <si>
    <t>lionel.perrin@csc-sa.ch</t>
  </si>
  <si>
    <t>Project Control Manager</t>
  </si>
  <si>
    <t>Lionel</t>
  </si>
  <si>
    <t>Loice Mhuru</t>
  </si>
  <si>
    <t>l.mhuru@gardiner.com</t>
  </si>
  <si>
    <t>Loice</t>
  </si>
  <si>
    <t>lorenzo.barnini@cmbcarpi.it</t>
  </si>
  <si>
    <t>Project Manager (PM)</t>
  </si>
  <si>
    <t>Lorenzo</t>
  </si>
  <si>
    <t>Lorenzo Fiorucci</t>
  </si>
  <si>
    <t>lorenzo.fiorucci@csc-sa.ch</t>
  </si>
  <si>
    <t>Lorenzo Lelli</t>
  </si>
  <si>
    <t>lorenzo.lelli@ingeni.ch</t>
  </si>
  <si>
    <t>Structural</t>
  </si>
  <si>
    <t>Lorik Rashica</t>
  </si>
  <si>
    <t>lrashica@smwllc.com</t>
  </si>
  <si>
    <t>Lorik</t>
  </si>
  <si>
    <t>Luca CARLINO</t>
  </si>
  <si>
    <t>Luca</t>
  </si>
  <si>
    <t>Luca Lodi</t>
  </si>
  <si>
    <t>luca.lodi@cmbcarpi.it</t>
  </si>
  <si>
    <t>Engineering Project Manager - Lead</t>
  </si>
  <si>
    <t>Lucille</t>
  </si>
  <si>
    <t>Luigi Ripamonti</t>
  </si>
  <si>
    <t>luigi.ripamonti@csc-sa.ch</t>
  </si>
  <si>
    <t>Luigi</t>
  </si>
  <si>
    <t>Luke Coleshill</t>
  </si>
  <si>
    <t>l.coleshill@gardiner.com</t>
  </si>
  <si>
    <t>Luke</t>
  </si>
  <si>
    <t>Luke Leung</t>
  </si>
  <si>
    <t>luke.leung@som.com</t>
  </si>
  <si>
    <t>Mairi Macintyre</t>
  </si>
  <si>
    <t>mairi@aspenglobal.co.uk</t>
  </si>
  <si>
    <t>Mairi</t>
  </si>
  <si>
    <t>Marc Frezza</t>
  </si>
  <si>
    <t>marc.frezza@un.org</t>
  </si>
  <si>
    <t>UNOG</t>
  </si>
  <si>
    <t>Marc</t>
  </si>
  <si>
    <t>Marco Benassi</t>
  </si>
  <si>
    <t>marco.benassi@un.org</t>
  </si>
  <si>
    <t>Archibus</t>
  </si>
  <si>
    <t>Marco</t>
  </si>
  <si>
    <t>Marco Miano</t>
  </si>
  <si>
    <t>marco.miano@trepi.it</t>
  </si>
  <si>
    <t>mariacristina.menozzi@cmbcarpi.it</t>
  </si>
  <si>
    <t>HSE &amp; Security Manager</t>
  </si>
  <si>
    <t>MariaCristina</t>
  </si>
  <si>
    <t>Marine Paillance</t>
  </si>
  <si>
    <t>marine.paillance@burckhardt.swiss</t>
  </si>
  <si>
    <t>Document Controller</t>
  </si>
  <si>
    <t>Marine</t>
  </si>
  <si>
    <t>Mark Peacock</t>
  </si>
  <si>
    <t>mark.peacock@un.org</t>
  </si>
  <si>
    <t>Contract Management</t>
  </si>
  <si>
    <t>Mark</t>
  </si>
  <si>
    <t>MAP</t>
  </si>
  <si>
    <t>martina.maffioletti@rpn-sa.ch</t>
  </si>
  <si>
    <t>Move Specialist / Doc Controller</t>
  </si>
  <si>
    <t>Martina</t>
  </si>
  <si>
    <t>Martino Zanini</t>
  </si>
  <si>
    <t>martino.zanini@csc-sa.ch</t>
  </si>
  <si>
    <t>Procurement Engineer</t>
  </si>
  <si>
    <t>Martino</t>
  </si>
  <si>
    <t>maryna.chernova@un.org</t>
  </si>
  <si>
    <t>Change Manager</t>
  </si>
  <si>
    <t>Maryna</t>
  </si>
  <si>
    <t>Marzio Medaglia</t>
  </si>
  <si>
    <t>marzio.medaglia@afry.com</t>
  </si>
  <si>
    <t>Marzio</t>
  </si>
  <si>
    <t>Massimiliano Binci</t>
  </si>
  <si>
    <t>massimiliano.binci@ingeni.ch</t>
  </si>
  <si>
    <t>Ingeni</t>
  </si>
  <si>
    <t>Massimiliano</t>
  </si>
  <si>
    <t>Matteo Cremaschi</t>
  </si>
  <si>
    <t>matteo.cremaschi@trepi.it</t>
  </si>
  <si>
    <t>3P</t>
  </si>
  <si>
    <t>Matteo</t>
  </si>
  <si>
    <t>Matteo Schiatti</t>
  </si>
  <si>
    <t>matteo.schiatti@maspero.ch</t>
  </si>
  <si>
    <t xml:space="preserve"> Vertical Transportation Project Manager</t>
  </si>
  <si>
    <t>Mauro Radice</t>
  </si>
  <si>
    <t>mauro.radice@csc-sa.ch</t>
  </si>
  <si>
    <t>Contract Manager</t>
  </si>
  <si>
    <t>Mauro</t>
  </si>
  <si>
    <t>maximilien.montanaro@un.org</t>
  </si>
  <si>
    <t>Maximilien</t>
  </si>
  <si>
    <t>Maya FARHAT</t>
  </si>
  <si>
    <t>maya.farhat@un.org</t>
  </si>
  <si>
    <t>Maya</t>
  </si>
  <si>
    <t>Melanie Servante</t>
  </si>
  <si>
    <t>melanie.servante@som.com</t>
  </si>
  <si>
    <t>Melanie</t>
  </si>
  <si>
    <t>Michael Burge</t>
  </si>
  <si>
    <t>m.burge@gardiner.com</t>
  </si>
  <si>
    <t>Michael</t>
  </si>
  <si>
    <t>Michael Filar</t>
  </si>
  <si>
    <t>michael.filar@som.com</t>
  </si>
  <si>
    <t>Michele Righi</t>
  </si>
  <si>
    <t>righi@un.org</t>
  </si>
  <si>
    <t>Project Manager Lead</t>
  </si>
  <si>
    <t>Michele</t>
  </si>
  <si>
    <t>Milton Morais</t>
  </si>
  <si>
    <t>milton.morais@csc-sa.ch</t>
  </si>
  <si>
    <t>Milton</t>
  </si>
  <si>
    <t>Mirta Mariotti</t>
  </si>
  <si>
    <t>mirta.mariotti@csc-sa.ch</t>
  </si>
  <si>
    <t>Procurement Controller</t>
  </si>
  <si>
    <t>Mirta</t>
  </si>
  <si>
    <t>Morgane Giorgi</t>
  </si>
  <si>
    <t>giorgi@kopitsis.com</t>
  </si>
  <si>
    <t>Kopitsis</t>
  </si>
  <si>
    <t>Morgane</t>
  </si>
  <si>
    <t>Natalie Hilen</t>
  </si>
  <si>
    <t>Document Manager Assistant</t>
  </si>
  <si>
    <t xml:space="preserve">Chief Design and Construction </t>
  </si>
  <si>
    <t>Neil</t>
  </si>
  <si>
    <t>Nicolò Mariotti</t>
  </si>
  <si>
    <t>nicolo.mariotti@rpn-sa.ch</t>
  </si>
  <si>
    <t>Nicolò</t>
  </si>
  <si>
    <t>Nigel Burch</t>
  </si>
  <si>
    <t>n.burch@gardiner.com</t>
  </si>
  <si>
    <t>Nigel</t>
  </si>
  <si>
    <t>Noireeta Chowdhury</t>
  </si>
  <si>
    <t>noireeta.chowdhury@un.org</t>
  </si>
  <si>
    <t>Noireeta</t>
  </si>
  <si>
    <t>Olivier BLAIN</t>
  </si>
  <si>
    <t>olivier@media-vision.com</t>
  </si>
  <si>
    <t xml:space="preserve"> Reponsible for Taiden Equipment</t>
  </si>
  <si>
    <t>Olivier</t>
  </si>
  <si>
    <t>olivier.zuercher@sbis.ch</t>
  </si>
  <si>
    <t>Oriol Rovira</t>
  </si>
  <si>
    <t>o.rovira@energymgt.ch</t>
  </si>
  <si>
    <t>Energy Mgt</t>
  </si>
  <si>
    <t>Oriol</t>
  </si>
  <si>
    <t>Osamu Moser</t>
  </si>
  <si>
    <t>om@oxalis-landscape.ch</t>
  </si>
  <si>
    <t>Oxalis</t>
  </si>
  <si>
    <t>Osamu</t>
  </si>
  <si>
    <t>Paolo Bozzetti</t>
  </si>
  <si>
    <t>paolo.bozzetti@trepi.it</t>
  </si>
  <si>
    <t>patrick.fowler@un.org</t>
  </si>
  <si>
    <t>Patrick</t>
  </si>
  <si>
    <t>patrick.vogelsang@un.org</t>
  </si>
  <si>
    <t>Pietro Redaelli</t>
  </si>
  <si>
    <t>BIM Coordinator</t>
  </si>
  <si>
    <t>Pietro</t>
  </si>
  <si>
    <t>Pav</t>
  </si>
  <si>
    <t>pav@mstep.co.uk</t>
  </si>
  <si>
    <t>Quentin DERAIL</t>
  </si>
  <si>
    <t>quentin@ecoservices.ch</t>
  </si>
  <si>
    <t>Quentin</t>
  </si>
  <si>
    <t>Rafael Lyra</t>
  </si>
  <si>
    <t>Rafael</t>
  </si>
  <si>
    <t>Ralph Giebeler</t>
  </si>
  <si>
    <t>Remi VANDERPLAETSEN</t>
  </si>
  <si>
    <t>rvanderplaetsen@unog.ch</t>
  </si>
  <si>
    <t xml:space="preserve"> SSS Officer</t>
  </si>
  <si>
    <t>Remi</t>
  </si>
  <si>
    <t>Richard Norbury</t>
  </si>
  <si>
    <t>richard@mstep.co.uk</t>
  </si>
  <si>
    <t>Richard</t>
  </si>
  <si>
    <t>Richard O'Connor</t>
  </si>
  <si>
    <t>richard@aspenglobal.co.uk</t>
  </si>
  <si>
    <t>Riddhi Bhootda</t>
  </si>
  <si>
    <t>riddhi@nultylighting.co.uk</t>
  </si>
  <si>
    <t>Riddhi</t>
  </si>
  <si>
    <t>Rino Carbone</t>
  </si>
  <si>
    <t>rino.carbone.ext@trepi.it</t>
  </si>
  <si>
    <t>AV Project manager</t>
  </si>
  <si>
    <t>Rino</t>
  </si>
  <si>
    <t>Roberto Barone</t>
  </si>
  <si>
    <t>roberto.barone@csc-sa.ch</t>
  </si>
  <si>
    <t>Roberto</t>
  </si>
  <si>
    <t>Roger Fernandes</t>
  </si>
  <si>
    <t>roger.fernandes@som.com</t>
  </si>
  <si>
    <t>Roger</t>
  </si>
  <si>
    <t>rosario.marino@som.com</t>
  </si>
  <si>
    <t>Rosario</t>
  </si>
  <si>
    <t>Ross Turnbull</t>
  </si>
  <si>
    <t>rturnbull@smwllc.com</t>
  </si>
  <si>
    <t>Ross</t>
  </si>
  <si>
    <t>Saber Zitouni</t>
  </si>
  <si>
    <t>saber.zitouni@un.org</t>
  </si>
  <si>
    <t>Senior Mechanical Engineer</t>
  </si>
  <si>
    <t>Saber</t>
  </si>
  <si>
    <t>Sabrina Levati</t>
  </si>
  <si>
    <t>sabrina.levati@csc-sa.ch</t>
  </si>
  <si>
    <t>BIM Manager</t>
  </si>
  <si>
    <t>Sabrina</t>
  </si>
  <si>
    <t>Samantha Karimanzira</t>
  </si>
  <si>
    <t>Samuel Havis</t>
  </si>
  <si>
    <t>s.havis@gardiner.com</t>
  </si>
  <si>
    <t>Samuel</t>
  </si>
  <si>
    <t>samuel.wilson@un.org</t>
  </si>
  <si>
    <t>Sasha Krstanovic</t>
  </si>
  <si>
    <t>sasha@mstep.co.uk</t>
  </si>
  <si>
    <t>Sasha</t>
  </si>
  <si>
    <t>Septimiu Andrei Misaila</t>
  </si>
  <si>
    <t>Shailesh Nepal</t>
  </si>
  <si>
    <t>nepals@un.org</t>
  </si>
  <si>
    <t>Shailesh</t>
  </si>
  <si>
    <t>Silvia Miralles</t>
  </si>
  <si>
    <t>silvia.miralles@un.org</t>
  </si>
  <si>
    <t>Architect / Accessibility / BIM Manager</t>
  </si>
  <si>
    <t>Silvia</t>
  </si>
  <si>
    <t>Silvia Molinari</t>
  </si>
  <si>
    <t>silvia.molinari@un.org</t>
  </si>
  <si>
    <t>Silvia Palhao</t>
  </si>
  <si>
    <t>silvia.palhao@burckhardt.swiss</t>
  </si>
  <si>
    <t>Simon</t>
  </si>
  <si>
    <t>simon@aspenglobal.co.uk</t>
  </si>
  <si>
    <t>Schedule Manager</t>
  </si>
  <si>
    <t>Simone</t>
  </si>
  <si>
    <t>Simone di Nola</t>
  </si>
  <si>
    <t>simone.dinola@rpn-sa.ch</t>
  </si>
  <si>
    <t>Sonia Jourmad</t>
  </si>
  <si>
    <t>sonia@media-vision.com</t>
  </si>
  <si>
    <t xml:space="preserve"> Project Manager</t>
  </si>
  <si>
    <t>Sonia</t>
  </si>
  <si>
    <t>Stefano Barone</t>
  </si>
  <si>
    <t>stefano.barone@csc-sa.ch</t>
  </si>
  <si>
    <t>Stefano</t>
  </si>
  <si>
    <t>Stephane Poirey</t>
  </si>
  <si>
    <t>ICTS</t>
  </si>
  <si>
    <t>Stephen FARRELL</t>
  </si>
  <si>
    <t>sfarrell@unog.ch</t>
  </si>
  <si>
    <t>Purchase &amp; transportation section</t>
  </si>
  <si>
    <t>Stephen</t>
  </si>
  <si>
    <t>Stephen Slawsky</t>
  </si>
  <si>
    <t>slawsky@un.org</t>
  </si>
  <si>
    <t>CHIEF OF SERVICE, PROGRAMME MANAGEMENT</t>
  </si>
  <si>
    <t>Steven Truss</t>
  </si>
  <si>
    <t>steven.truss@wsp.com</t>
  </si>
  <si>
    <t>WSP</t>
  </si>
  <si>
    <t>Steven</t>
  </si>
  <si>
    <t>Teeba Almunshi</t>
  </si>
  <si>
    <t>teeba@mstep.co.uk</t>
  </si>
  <si>
    <t>Teeba</t>
  </si>
  <si>
    <t>Thaer Alsafar</t>
  </si>
  <si>
    <t>t.alsafar@energymgt.ch</t>
  </si>
  <si>
    <t>Thaer</t>
  </si>
  <si>
    <t>Thibault Rochette</t>
  </si>
  <si>
    <t>thibault.rochette@nembrini.com</t>
  </si>
  <si>
    <t>Thibault</t>
  </si>
  <si>
    <t>Tim Barker</t>
  </si>
  <si>
    <t>tim.barker@aecom.com</t>
  </si>
  <si>
    <t>Tim</t>
  </si>
  <si>
    <t>Viola Sartori</t>
  </si>
  <si>
    <t>viola.sartori@cmbcarpi.it</t>
  </si>
  <si>
    <t xml:space="preserve">Deputy Project Manager </t>
  </si>
  <si>
    <t>Viola</t>
  </si>
  <si>
    <t>Wolfgang Theiner</t>
  </si>
  <si>
    <t>wolfgang.theiner@burckhardt.swiss</t>
  </si>
  <si>
    <t>Quality Manager (QM)</t>
  </si>
  <si>
    <t>Wolfgang</t>
  </si>
  <si>
    <t>Wouter Smith</t>
  </si>
  <si>
    <t>wouter.smith@un.org</t>
  </si>
  <si>
    <t>Wouter</t>
  </si>
  <si>
    <t>Yasmin Harris-Boadi</t>
  </si>
  <si>
    <t>yasmin@mstep.co.uk</t>
  </si>
  <si>
    <t>Yasmin</t>
  </si>
  <si>
    <t>Youri Dervin</t>
  </si>
  <si>
    <t>youri@ecoservices.ch</t>
  </si>
  <si>
    <t>Youri</t>
  </si>
  <si>
    <t>Youssef Mahcene</t>
  </si>
  <si>
    <t>youssef.mahcene@un.org</t>
  </si>
  <si>
    <t>Youssef</t>
  </si>
  <si>
    <t>Yvan Ristic</t>
  </si>
  <si>
    <t>yri@dssa.ch</t>
  </si>
  <si>
    <t>Yvan</t>
  </si>
  <si>
    <t>Zahid Mir</t>
  </si>
  <si>
    <t>zmir@smwllc.com</t>
  </si>
  <si>
    <t>Zahid</t>
  </si>
  <si>
    <t>zeynep.onen@un.org</t>
  </si>
  <si>
    <t>Architectural Manager</t>
  </si>
  <si>
    <t>Zeynep</t>
  </si>
  <si>
    <t>AB+C - 12 WLA AV focus</t>
  </si>
  <si>
    <t>Leadership meeting</t>
  </si>
  <si>
    <t>Operational Readiness Meeting</t>
  </si>
  <si>
    <t>PM</t>
  </si>
  <si>
    <t>R - Architectural meeting</t>
  </si>
  <si>
    <t>UNTV - 12 WLA</t>
  </si>
  <si>
    <t>Site visit</t>
  </si>
  <si>
    <t>Discipline</t>
  </si>
  <si>
    <t>description</t>
  </si>
  <si>
    <t>RFI / NCF DISCIPLINE</t>
  </si>
  <si>
    <t xml:space="preserve">DALUX disciplne </t>
  </si>
  <si>
    <t>MACRO DISCIPLINE</t>
  </si>
  <si>
    <t>Architecture</t>
  </si>
  <si>
    <t>A - Architecture</t>
  </si>
  <si>
    <t>ARCH</t>
  </si>
  <si>
    <t>ARC</t>
  </si>
  <si>
    <t>ARCHITECTURAL</t>
  </si>
  <si>
    <t>HERI</t>
  </si>
  <si>
    <t>HERITAGE</t>
  </si>
  <si>
    <t>AI</t>
  </si>
  <si>
    <t>Architectural Interior</t>
  </si>
  <si>
    <t>AI - Architectural Interior</t>
  </si>
  <si>
    <t>AL</t>
  </si>
  <si>
    <t>AL - Lighting</t>
  </si>
  <si>
    <t>BC</t>
  </si>
  <si>
    <t>Broadcast</t>
  </si>
  <si>
    <t>BC - Broadcast</t>
  </si>
  <si>
    <t>AUDIOVISUAL &amp; BROADCAST</t>
  </si>
  <si>
    <t>TA</t>
  </si>
  <si>
    <t>AVBC</t>
  </si>
  <si>
    <t>BIM</t>
  </si>
  <si>
    <t>BIM - BIM</t>
  </si>
  <si>
    <t>CON</t>
  </si>
  <si>
    <t>Construction</t>
  </si>
  <si>
    <t>EL</t>
  </si>
  <si>
    <t>Electrical</t>
  </si>
  <si>
    <t>EL - Electrical</t>
  </si>
  <si>
    <t>ELECTRICAL/SAFETY/SECURITY</t>
  </si>
  <si>
    <t>MEP</t>
  </si>
  <si>
    <t>ELSS</t>
  </si>
  <si>
    <t>ENV</t>
  </si>
  <si>
    <t>Envelope</t>
  </si>
  <si>
    <t>ENV - Envelope</t>
  </si>
  <si>
    <t>FA</t>
  </si>
  <si>
    <t>Facade</t>
  </si>
  <si>
    <t>FA - Facade</t>
  </si>
  <si>
    <t>FP</t>
  </si>
  <si>
    <t>Fire Protection</t>
  </si>
  <si>
    <t>FP - Fire Protection</t>
  </si>
  <si>
    <t>FU</t>
  </si>
  <si>
    <t>Furniture</t>
  </si>
  <si>
    <t>FU - Furniture</t>
  </si>
  <si>
    <t>HM</t>
  </si>
  <si>
    <t>Hazardous Material</t>
  </si>
  <si>
    <t>HM - Hazardous Material</t>
  </si>
  <si>
    <t>KC</t>
  </si>
  <si>
    <t>Kitchen</t>
  </si>
  <si>
    <t>KC - Kitchen</t>
  </si>
  <si>
    <t>LS</t>
  </si>
  <si>
    <t>Landscape</t>
  </si>
  <si>
    <t>LS - Landscape</t>
  </si>
  <si>
    <t>Combined Plans</t>
  </si>
  <si>
    <t>MEP - Combined Plans</t>
  </si>
  <si>
    <t>MH</t>
  </si>
  <si>
    <t>Mechanical HVAC</t>
  </si>
  <si>
    <t>MH - Mechanical HVAC</t>
  </si>
  <si>
    <t>MECHANICAL/PLUMBING</t>
  </si>
  <si>
    <t>MHPL</t>
  </si>
  <si>
    <t>MP</t>
  </si>
  <si>
    <t>PE</t>
  </si>
  <si>
    <t>Permit</t>
  </si>
  <si>
    <t>PE - Permit</t>
  </si>
  <si>
    <t>PL</t>
  </si>
  <si>
    <t>Plumbing</t>
  </si>
  <si>
    <t>PL - Plumbing</t>
  </si>
  <si>
    <t>Project Management</t>
  </si>
  <si>
    <t>PM - Project Management</t>
  </si>
  <si>
    <t>QA</t>
  </si>
  <si>
    <t>Quality Assurance</t>
  </si>
  <si>
    <t>QUALITY</t>
  </si>
  <si>
    <t>QC</t>
  </si>
  <si>
    <t>QM</t>
  </si>
  <si>
    <t>SE</t>
  </si>
  <si>
    <t>Structural Existing Buildings</t>
  </si>
  <si>
    <t>SE - Structural Existing Buildings</t>
  </si>
  <si>
    <t>STRU</t>
  </si>
  <si>
    <t>STRUCTURE</t>
  </si>
  <si>
    <t>SN</t>
  </si>
  <si>
    <t>Structural New Building</t>
  </si>
  <si>
    <t>SN - Structural New Building</t>
  </si>
  <si>
    <t>STK</t>
  </si>
  <si>
    <t>Stakeholders Engagement</t>
  </si>
  <si>
    <t>STK - Stakeholders Engagement</t>
  </si>
  <si>
    <t>TT</t>
  </si>
  <si>
    <t>IT</t>
  </si>
  <si>
    <t>TT - IT</t>
  </si>
  <si>
    <t>Audiovisuals</t>
  </si>
  <si>
    <t>TA - Audiovisuals</t>
  </si>
  <si>
    <t>AUDIOVISUAL</t>
  </si>
  <si>
    <t>TY</t>
  </si>
  <si>
    <t>Security</t>
  </si>
  <si>
    <t>TY - Security</t>
  </si>
  <si>
    <t>VT</t>
  </si>
  <si>
    <t>Vertical Transportation</t>
  </si>
  <si>
    <t>VT - Vertical Transportation</t>
  </si>
  <si>
    <t xml:space="preserve">HSE </t>
  </si>
  <si>
    <t>Health, Security and Environment</t>
  </si>
  <si>
    <t>HSE  - Health, Security and Environment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</si>
</sst>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_-* #,##0.00_-;\-* #,##0.00_-;_-* &quot;-&quot;??_-;_-@_-"/>
    <numFmt numFmtId="165" formatCode="_-* #,##0.00\ &quot;€&quot;_-;\-* #,##0.00\ &quot;€&quot;_-;_-* &quot;-&quot;??\ &quot;€&quot;_-;_-@_-"/>
    <numFmt numFmtId="166" formatCode="[$-F800]dddd\,\ mmmm\ dd\,\ yyyy"/>
    <numFmt numFmtId="167" formatCode="dd/mm/yyyy"/>
  </numFmts>
  <fonts count="65">
    <font>
      <sz val="11"/>
      <color theme="1"/>
      <name val="Calibri"/>
      <family val="2"/>
      <scheme val="minor"/>
    </font>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Calibri"/>
      <family val="2"/>
    </font>
    <font>
      <sz val="11"/>
      <color theme="1"/>
      <name val="Arial"/>
      <family val="2"/>
    </font>
    <font>
      <b/>
      <sz val="12"/>
      <color rgb="FFFFFFFF"/>
      <name val="Arial"/>
      <family val="2"/>
    </font>
    <font>
      <b/>
      <sz val="10"/>
      <color rgb="FFFFFFFF"/>
      <name val="Arial"/>
      <family val="2"/>
    </font>
    <font>
      <sz val="11"/>
      <color theme="1"/>
      <name val="Calibri"/>
      <family val="2"/>
      <scheme val="minor"/>
    </font>
    <font>
      <sz val="11"/>
      <color indexed="8"/>
      <name val="Calibri"/>
      <family val="2"/>
      <scheme val="minor"/>
    </font>
    <font>
      <sz val="10"/>
      <color theme="0" tint="-0.499984740745262"/>
      <name val="Arial"/>
      <family val="2"/>
    </font>
    <font>
      <sz val="11"/>
      <color theme="0" tint="-0.499984740745262"/>
      <name val="Arial"/>
      <family val="2"/>
    </font>
    <font>
      <sz val="9"/>
      <color rgb="FF757575"/>
      <name val="Arial"/>
      <family val="2"/>
    </font>
    <font>
      <sz val="9"/>
      <color theme="0" tint="-0.499984740745262"/>
      <name val="Arial"/>
      <family val="2"/>
    </font>
    <font>
      <b/>
      <sz val="12"/>
      <color theme="0" tint="-0.499984740745262"/>
      <name val="Arial"/>
      <family val="2"/>
    </font>
    <font>
      <b/>
      <sz val="10"/>
      <color theme="0" tint="-0.499984740745262"/>
      <name val="Arial"/>
      <family val="2"/>
    </font>
    <font>
      <sz val="11"/>
      <color rgb="FF000000"/>
      <name val="Calibri"/>
      <family val="2"/>
      <scheme val="minor"/>
    </font>
    <font>
      <sz val="11"/>
      <color rgb="FF7030A0"/>
      <name val="Calibri"/>
      <family val="2"/>
      <scheme val="minor"/>
    </font>
    <font>
      <sz val="11"/>
      <color rgb="FF00B0F0"/>
      <name val="Calibri"/>
      <family val="2"/>
      <scheme val="minor"/>
    </font>
    <font>
      <u/>
      <sz val="11"/>
      <color theme="10"/>
      <name val="Calibri"/>
      <family val="2"/>
      <scheme val="minor"/>
    </font>
    <font>
      <sz val="11"/>
      <color rgb="FFFF0000"/>
      <name val="Calibri"/>
      <family val="2"/>
      <scheme val="minor"/>
    </font>
    <font>
      <b/>
      <sz val="12"/>
      <color rgb="FF000000"/>
      <name val="Calibri"/>
      <family val="2"/>
      <scheme val="minor"/>
    </font>
    <font>
      <b/>
      <sz val="12"/>
      <name val="Calibri"/>
      <family val="2"/>
      <scheme val="minor"/>
    </font>
    <font>
      <b/>
      <sz val="12"/>
      <color rgb="FFFFFFFF"/>
      <name val="Calibri"/>
      <family val="2"/>
      <scheme val="minor"/>
    </font>
    <font>
      <sz val="10"/>
      <color rgb="FF000000"/>
      <name val="Calibri"/>
      <family val="2"/>
      <scheme val="minor"/>
    </font>
    <font>
      <b/>
      <sz val="10"/>
      <color rgb="FF000000"/>
      <name val="Calibri"/>
      <family val="2"/>
      <scheme val="minor"/>
    </font>
    <font>
      <b/>
      <sz val="10"/>
      <color rgb="FFFFFFFF"/>
      <name val="Calibri"/>
      <family val="2"/>
      <scheme val="minor"/>
    </font>
    <font>
      <sz val="10"/>
      <name val="Calibri"/>
      <family val="2"/>
      <scheme val="minor"/>
    </font>
    <font>
      <sz val="10"/>
      <color theme="0" tint="-0.34998626667073579"/>
      <name val="Calibri"/>
      <family val="2"/>
      <scheme val="minor"/>
    </font>
    <font>
      <sz val="11"/>
      <color theme="1" tint="0.499984740745262"/>
      <name val="Calibri"/>
      <family val="2"/>
      <scheme val="minor"/>
    </font>
    <font>
      <sz val="9"/>
      <color theme="1" tint="0.499984740745262"/>
      <name val="Calibri"/>
      <family val="2"/>
      <scheme val="minor"/>
    </font>
    <font>
      <sz val="10"/>
      <color theme="1" tint="0.499984740745262"/>
      <name val="Calibri"/>
      <family val="2"/>
      <scheme val="minor"/>
    </font>
    <font>
      <sz val="9"/>
      <color theme="1"/>
      <name val="Calibri"/>
      <family val="2"/>
      <scheme val="minor"/>
    </font>
    <font>
      <sz val="9"/>
      <color rgb="FF747474"/>
      <name val="Calibri"/>
      <family val="2"/>
      <scheme val="minor"/>
    </font>
    <font>
      <sz val="11"/>
      <name val="Calibri"/>
      <family val="2"/>
      <scheme val="minor"/>
    </font>
    <font>
      <sz val="9"/>
      <color rgb="FF757575"/>
      <name val="Calibri"/>
      <family val="2"/>
      <scheme val="minor"/>
    </font>
    <font>
      <sz val="10"/>
      <color theme="1"/>
      <name val="Calibri"/>
      <family val="2"/>
      <scheme val="minor"/>
    </font>
    <font>
      <sz val="3"/>
      <color rgb="FF000000"/>
      <name val="Calibri"/>
      <family val="2"/>
      <scheme val="minor"/>
    </font>
    <font>
      <b/>
      <sz val="11"/>
      <name val="Calibri"/>
      <family val="2"/>
      <scheme val="minor"/>
    </font>
    <font>
      <sz val="10"/>
      <color theme="2" tint="-0.499984740745262"/>
      <name val="Calibri"/>
      <family val="2"/>
      <scheme val="minor"/>
    </font>
    <font>
      <sz val="10"/>
      <color rgb="FF7030A0"/>
      <name val="Calibri"/>
      <family val="2"/>
      <scheme val="minor"/>
    </font>
    <font>
      <sz val="11"/>
      <color rgb="FF757575"/>
      <name val="Calibri"/>
      <family val="2"/>
      <scheme val="minor"/>
    </font>
    <font>
      <sz val="8"/>
      <color theme="1"/>
      <name val="Calibri"/>
      <family val="2"/>
      <scheme val="minor"/>
    </font>
    <font>
      <sz val="10"/>
      <color rgb="FF000000"/>
      <name val="Arial"/>
      <family val="2"/>
    </font>
    <font>
      <sz val="8"/>
      <name val="Calibri"/>
      <family val="2"/>
      <scheme val="minor"/>
    </font>
    <font>
      <sz val="10"/>
      <color theme="1"/>
      <name val="Arial"/>
      <family val="2"/>
    </font>
    <font>
      <sz val="11"/>
      <color theme="1"/>
      <name val="Calibri"/>
      <family val="2"/>
    </font>
    <font>
      <b/>
      <sz val="11"/>
      <color theme="1"/>
      <name val="Calibri"/>
      <family val="2"/>
      <scheme val="minor"/>
    </font>
    <font>
      <b/>
      <sz val="8"/>
      <color rgb="FF000000"/>
      <name val="Arial"/>
      <family val="2"/>
    </font>
    <font>
      <b/>
      <sz val="10"/>
      <color theme="0"/>
      <name val="Calibri"/>
      <family val="2"/>
      <scheme val="minor"/>
    </font>
    <font>
      <sz val="10"/>
      <color theme="0" tint="-0.249977111117893"/>
      <name val="Calibri"/>
      <family val="2"/>
      <scheme val="minor"/>
    </font>
    <font>
      <b/>
      <sz val="11"/>
      <color rgb="FF000000"/>
      <name val="Calibri"/>
      <family val="2"/>
      <scheme val="minor"/>
    </font>
    <font>
      <b/>
      <sz val="10"/>
      <color theme="1" tint="0.249977111117893"/>
      <name val="Calibri"/>
      <family val="2"/>
      <scheme val="minor"/>
    </font>
    <font>
      <sz val="10"/>
      <color theme="1" tint="0.249977111117893"/>
      <name val="Calibri"/>
      <family val="2"/>
      <scheme val="minor"/>
    </font>
    <font>
      <sz val="11"/>
      <color theme="1" tint="0.249977111117893"/>
      <name val="Calibri"/>
      <family val="2"/>
      <scheme val="minor"/>
    </font>
    <font>
      <sz val="9"/>
      <color theme="1" tint="0.249977111117893"/>
      <name val="Calibri"/>
      <family val="2"/>
      <scheme val="minor"/>
    </font>
    <font>
      <sz val="11"/>
      <color rgb="FF000000"/>
      <name val="Calibri"/>
    </font>
    <font>
      <sz val="11"/>
      <color rgb="FF000000"/>
      <name val="Calibri"/>
      <scheme val="minor"/>
    </font>
    <font>
      <sz val="11"/>
      <color rgb="FF00B0F0"/>
      <name val="Calibri"/>
      <scheme val="minor"/>
    </font>
    <font>
      <sz val="10"/>
      <color rgb="FF000000"/>
      <name val="Calibri"/>
      <scheme val="minor"/>
    </font>
    <font>
      <sz val="11"/>
      <color rgb="FF757575"/>
      <name val="Calibri"/>
      <scheme val="minor"/>
    </font>
    <font>
      <b/>
      <sz val="11"/>
      <color rgb="FF000000"/>
      <name val="Calibri"/>
    </font>
    <font>
      <sz val="11"/>
      <color rgb="FFFF0000"/>
      <name val="Calibri"/>
      <scheme val="minor"/>
    </font>
    <font>
      <strike/>
      <sz val="11"/>
      <color rgb="FF00B0F0"/>
      <name val="Calibri"/>
      <scheme val="minor"/>
    </font>
  </fonts>
  <fills count="17">
    <fill>
      <patternFill patternType="none"/>
    </fill>
    <fill>
      <patternFill patternType="gray125"/>
    </fill>
    <fill>
      <patternFill patternType="solid">
        <fgColor theme="0" tint="-4.9989318521683403E-2"/>
        <bgColor indexed="64"/>
      </patternFill>
    </fill>
    <fill>
      <patternFill patternType="solid">
        <fgColor rgb="FFF87E7D"/>
        <bgColor rgb="FF000000"/>
      </patternFill>
    </fill>
    <fill>
      <patternFill patternType="solid">
        <fgColor rgb="FFE5E5E5"/>
        <bgColor rgb="FF000000"/>
      </patternFill>
    </fill>
    <fill>
      <patternFill patternType="solid">
        <fgColor rgb="FF757575"/>
        <bgColor rgb="FF000000"/>
      </patternFill>
    </fill>
    <fill>
      <patternFill patternType="solid">
        <fgColor theme="0"/>
        <bgColor indexed="64"/>
      </patternFill>
    </fill>
    <fill>
      <patternFill patternType="solid">
        <fgColor rgb="FFFFFF99"/>
        <bgColor indexed="64"/>
      </patternFill>
    </fill>
    <fill>
      <patternFill patternType="solid">
        <fgColor theme="0" tint="-0.499984740745262"/>
        <bgColor indexed="64"/>
      </patternFill>
    </fill>
    <fill>
      <patternFill patternType="solid">
        <fgColor theme="0" tint="-0.499984740745262"/>
        <bgColor rgb="FF000000"/>
      </patternFill>
    </fill>
    <fill>
      <patternFill patternType="solid">
        <fgColor rgb="FFFFD5D5"/>
        <bgColor indexed="64"/>
      </patternFill>
    </fill>
    <fill>
      <patternFill patternType="solid">
        <fgColor rgb="FFFFD5D5"/>
        <bgColor rgb="FF000000"/>
      </patternFill>
    </fill>
    <fill>
      <patternFill patternType="solid">
        <fgColor theme="0" tint="-0.14999847407452621"/>
        <bgColor rgb="FF000000"/>
      </patternFill>
    </fill>
    <fill>
      <patternFill patternType="solid">
        <fgColor theme="9" tint="0.79998168889431442"/>
        <bgColor theme="9" tint="0.79998168889431442"/>
      </patternFill>
    </fill>
    <fill>
      <patternFill patternType="solid">
        <fgColor rgb="FFFF0000"/>
        <bgColor indexed="64"/>
      </patternFill>
    </fill>
    <fill>
      <patternFill patternType="solid">
        <fgColor rgb="FFFFC000"/>
        <bgColor indexed="64"/>
      </patternFill>
    </fill>
    <fill>
      <patternFill patternType="solid">
        <fgColor rgb="FFFFFF65"/>
        <bgColor indexed="64"/>
      </patternFill>
    </fill>
  </fills>
  <borders count="51">
    <border>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style="thin">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right style="thin">
        <color indexed="64"/>
      </right>
      <top style="hair">
        <color indexed="64"/>
      </top>
      <bottom style="hair">
        <color indexed="64"/>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dotted">
        <color rgb="FF000000"/>
      </bottom>
      <diagonal/>
    </border>
    <border>
      <left/>
      <right/>
      <top/>
      <bottom style="thin">
        <color indexed="64"/>
      </bottom>
      <diagonal/>
    </border>
    <border>
      <left style="dotted">
        <color rgb="FF000000"/>
      </left>
      <right style="dotted">
        <color rgb="FF000000"/>
      </right>
      <top style="dotted">
        <color rgb="FF000000"/>
      </top>
      <bottom style="thin">
        <color indexed="64"/>
      </bottom>
      <diagonal/>
    </border>
    <border>
      <left/>
      <right/>
      <top style="hair">
        <color indexed="64"/>
      </top>
      <bottom style="hair">
        <color indexed="64"/>
      </bottom>
      <diagonal/>
    </border>
    <border>
      <left/>
      <right/>
      <top style="thin">
        <color indexed="64"/>
      </top>
      <bottom style="hair">
        <color indexed="64"/>
      </bottom>
      <diagonal/>
    </border>
    <border>
      <left style="dotted">
        <color rgb="FF000000"/>
      </left>
      <right/>
      <top style="dotted">
        <color rgb="FF000000"/>
      </top>
      <bottom style="dotted">
        <color rgb="FF000000"/>
      </bottom>
      <diagonal/>
    </border>
    <border>
      <left/>
      <right style="hair">
        <color indexed="64"/>
      </right>
      <top/>
      <bottom/>
      <diagonal/>
    </border>
    <border>
      <left style="hair">
        <color indexed="64"/>
      </left>
      <right style="hair">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dotted">
        <color rgb="FF000000"/>
      </left>
      <right style="dotted">
        <color rgb="FF000000"/>
      </right>
      <top style="dotted">
        <color rgb="FF000000"/>
      </top>
      <bottom/>
      <diagonal/>
    </border>
    <border>
      <left/>
      <right/>
      <top style="thin">
        <color theme="1"/>
      </top>
      <bottom style="thin">
        <color theme="1"/>
      </bottom>
      <diagonal/>
    </border>
    <border>
      <left/>
      <right/>
      <top style="dotted">
        <color rgb="FF000000"/>
      </top>
      <bottom/>
      <diagonal/>
    </border>
    <border>
      <left style="dotted">
        <color rgb="FF000000"/>
      </left>
      <right/>
      <top style="dotted">
        <color rgb="FF000000"/>
      </top>
      <bottom/>
      <diagonal/>
    </border>
    <border>
      <left style="hair">
        <color indexed="64"/>
      </left>
      <right/>
      <top style="hair">
        <color indexed="64"/>
      </top>
      <bottom style="hair">
        <color indexed="64"/>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hair">
        <color indexed="64"/>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dotted">
        <color rgb="FF000000"/>
      </right>
      <top style="dotted">
        <color rgb="FF000000"/>
      </top>
      <bottom style="dotted">
        <color rgb="FF000000"/>
      </bottom>
      <diagonal/>
    </border>
    <border>
      <left/>
      <right style="dotted">
        <color rgb="FF000000"/>
      </right>
      <top style="dotted">
        <color rgb="FF000000"/>
      </top>
      <bottom/>
      <diagonal/>
    </border>
    <border>
      <left style="dotted">
        <color rgb="FF000000"/>
      </left>
      <right style="dotted">
        <color rgb="FF000000"/>
      </right>
      <top/>
      <bottom style="hair">
        <color indexed="64"/>
      </bottom>
      <diagonal/>
    </border>
    <border>
      <left/>
      <right/>
      <top/>
      <bottom style="hair">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A9D08E"/>
      </left>
      <right/>
      <top/>
      <bottom style="medium">
        <color rgb="FFA9D08E"/>
      </bottom>
      <diagonal/>
    </border>
    <border>
      <left/>
      <right/>
      <top/>
      <bottom style="medium">
        <color rgb="FFA9D08E"/>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rgb="FFA9D08E"/>
      </bottom>
      <diagonal/>
    </border>
    <border>
      <left/>
      <right style="hair">
        <color indexed="64"/>
      </right>
      <top/>
      <bottom style="thin">
        <color rgb="FF000000"/>
      </bottom>
      <diagonal/>
    </border>
    <border>
      <left/>
      <right/>
      <top/>
      <bottom style="thin">
        <color rgb="FF000000"/>
      </bottom>
      <diagonal/>
    </border>
    <border>
      <left/>
      <right style="hair">
        <color indexed="64"/>
      </right>
      <top style="hair">
        <color indexed="64"/>
      </top>
      <bottom/>
      <diagonal/>
    </border>
    <border>
      <left/>
      <right/>
      <top style="hair">
        <color indexed="64"/>
      </top>
      <bottom/>
      <diagonal/>
    </border>
    <border>
      <left/>
      <right style="hair">
        <color indexed="64"/>
      </right>
      <top style="hair">
        <color indexed="64"/>
      </top>
      <bottom style="dotted">
        <color rgb="FF000000"/>
      </bottom>
      <diagonal/>
    </border>
    <border>
      <left/>
      <right style="hair">
        <color indexed="64"/>
      </right>
      <top style="dotted">
        <color rgb="FF000000"/>
      </top>
      <bottom style="dotted">
        <color rgb="FF000000"/>
      </bottom>
      <diagonal/>
    </border>
    <border>
      <left style="hair">
        <color indexed="64"/>
      </left>
      <right style="hair">
        <color indexed="64"/>
      </right>
      <top style="dotted">
        <color rgb="FF000000"/>
      </top>
      <bottom style="dotted">
        <color rgb="FF000000"/>
      </bottom>
      <diagonal/>
    </border>
    <border>
      <left/>
      <right style="hair">
        <color indexed="64"/>
      </right>
      <top/>
      <bottom style="dotted">
        <color rgb="FF000000"/>
      </bottom>
      <diagonal/>
    </border>
  </borders>
  <cellStyleXfs count="6">
    <xf numFmtId="0" fontId="0" fillId="0" borderId="0"/>
    <xf numFmtId="0" fontId="5" fillId="0" borderId="0"/>
    <xf numFmtId="165" fontId="9" fillId="0" borderId="0" applyFont="0" applyFill="0" applyBorder="0" applyAlignment="0" applyProtection="0"/>
    <xf numFmtId="0" fontId="9" fillId="0" borderId="0"/>
    <xf numFmtId="0" fontId="10" fillId="0" borderId="0"/>
    <xf numFmtId="0" fontId="20" fillId="0" borderId="0" applyNumberFormat="0" applyFill="0" applyBorder="0" applyAlignment="0" applyProtection="0"/>
  </cellStyleXfs>
  <cellXfs count="319">
    <xf numFmtId="0" fontId="0" fillId="0" borderId="0" xfId="0"/>
    <xf numFmtId="0" fontId="13" fillId="0" borderId="0" xfId="0" applyFont="1" applyAlignment="1">
      <alignment vertical="center"/>
    </xf>
    <xf numFmtId="0" fontId="11" fillId="0" borderId="18" xfId="0" applyFont="1" applyBorder="1" applyAlignment="1">
      <alignment horizontal="center" vertical="center" wrapText="1"/>
    </xf>
    <xf numFmtId="43" fontId="11" fillId="0" borderId="17" xfId="0" applyNumberFormat="1" applyFont="1" applyBorder="1" applyAlignment="1">
      <alignment horizontal="center" vertical="center" wrapText="1"/>
    </xf>
    <xf numFmtId="14" fontId="11" fillId="0" borderId="18" xfId="0" applyNumberFormat="1" applyFont="1" applyBorder="1" applyAlignment="1">
      <alignment horizontal="center" vertical="center" wrapText="1"/>
    </xf>
    <xf numFmtId="14" fontId="11" fillId="0" borderId="19" xfId="0" applyNumberFormat="1" applyFont="1" applyBorder="1" applyAlignment="1">
      <alignment horizontal="center" vertical="center" wrapText="1"/>
    </xf>
    <xf numFmtId="0" fontId="6" fillId="0" borderId="0" xfId="0" applyFont="1" applyAlignment="1">
      <alignment vertical="center"/>
    </xf>
    <xf numFmtId="0" fontId="7" fillId="3" borderId="0" xfId="0" applyFont="1" applyFill="1" applyAlignment="1">
      <alignment vertical="center"/>
    </xf>
    <xf numFmtId="0" fontId="7" fillId="3" borderId="0" xfId="0" applyFont="1" applyFill="1" applyAlignment="1">
      <alignment vertical="center" wrapText="1"/>
    </xf>
    <xf numFmtId="14" fontId="7" fillId="3" borderId="0" xfId="0" applyNumberFormat="1" applyFont="1" applyFill="1" applyAlignment="1">
      <alignment vertical="center"/>
    </xf>
    <xf numFmtId="0" fontId="8" fillId="5" borderId="7" xfId="0" applyFont="1" applyFill="1" applyBorder="1" applyAlignment="1">
      <alignment vertical="center"/>
    </xf>
    <xf numFmtId="43" fontId="11" fillId="0" borderId="17" xfId="0" applyNumberFormat="1" applyFont="1" applyBorder="1" applyAlignment="1">
      <alignment vertical="center" wrapText="1"/>
    </xf>
    <xf numFmtId="0" fontId="12" fillId="0" borderId="16" xfId="0" applyFont="1" applyBorder="1" applyAlignment="1">
      <alignment vertical="center"/>
    </xf>
    <xf numFmtId="0" fontId="14" fillId="0" borderId="0" xfId="0" applyFont="1" applyAlignment="1">
      <alignment vertical="center"/>
    </xf>
    <xf numFmtId="0" fontId="12" fillId="0" borderId="0" xfId="0" applyFont="1" applyAlignment="1">
      <alignment vertical="center"/>
    </xf>
    <xf numFmtId="0" fontId="7" fillId="3" borderId="0" xfId="0" applyFont="1" applyFill="1" applyAlignment="1">
      <alignment horizontal="center" vertical="center"/>
    </xf>
    <xf numFmtId="0" fontId="11" fillId="0" borderId="3" xfId="0" applyFont="1" applyBorder="1" applyAlignment="1">
      <alignment wrapText="1"/>
    </xf>
    <xf numFmtId="0" fontId="11" fillId="0" borderId="8" xfId="0" applyFont="1" applyBorder="1" applyAlignment="1">
      <alignment wrapText="1"/>
    </xf>
    <xf numFmtId="0" fontId="11" fillId="0" borderId="1" xfId="0" applyFont="1" applyBorder="1" applyAlignment="1">
      <alignment wrapText="1"/>
    </xf>
    <xf numFmtId="0" fontId="11" fillId="0" borderId="17" xfId="0" applyFont="1" applyBorder="1" applyAlignment="1">
      <alignment wrapText="1"/>
    </xf>
    <xf numFmtId="0" fontId="7" fillId="3" borderId="0" xfId="0" applyFont="1" applyFill="1" applyAlignment="1">
      <alignment horizontal="center" vertical="center" wrapText="1"/>
    </xf>
    <xf numFmtId="0" fontId="15" fillId="12" borderId="21" xfId="0" applyFont="1" applyFill="1" applyBorder="1" applyAlignment="1">
      <alignment vertical="center" wrapText="1"/>
    </xf>
    <xf numFmtId="0" fontId="16" fillId="12" borderId="2" xfId="0" applyFont="1" applyFill="1" applyBorder="1" applyAlignment="1">
      <alignment vertical="center"/>
    </xf>
    <xf numFmtId="15" fontId="6" fillId="0" borderId="0" xfId="0" applyNumberFormat="1" applyFont="1" applyAlignment="1">
      <alignment vertical="center"/>
    </xf>
    <xf numFmtId="0" fontId="17" fillId="0" borderId="0" xfId="0" applyFont="1" applyAlignment="1">
      <alignment vertical="center" wrapText="1"/>
    </xf>
    <xf numFmtId="0" fontId="20" fillId="0" borderId="0" xfId="5" applyNumberFormat="1"/>
    <xf numFmtId="0" fontId="22" fillId="0" borderId="0" xfId="0" applyFont="1" applyAlignment="1">
      <alignment vertical="center"/>
    </xf>
    <xf numFmtId="0" fontId="23" fillId="0" borderId="0" xfId="0" applyFont="1" applyAlignment="1">
      <alignment vertical="center" wrapText="1"/>
    </xf>
    <xf numFmtId="0" fontId="4" fillId="0" borderId="0" xfId="0" applyFont="1" applyAlignment="1">
      <alignment vertical="center"/>
    </xf>
    <xf numFmtId="0" fontId="24" fillId="3" borderId="0" xfId="0" applyFont="1" applyFill="1" applyAlignment="1">
      <alignment vertical="center"/>
    </xf>
    <xf numFmtId="0" fontId="24" fillId="3" borderId="0" xfId="0" applyFont="1" applyFill="1" applyAlignment="1">
      <alignment vertical="center" wrapText="1"/>
    </xf>
    <xf numFmtId="0" fontId="25" fillId="0" borderId="0" xfId="0" applyFont="1" applyAlignment="1">
      <alignment vertical="center"/>
    </xf>
    <xf numFmtId="0" fontId="26" fillId="4" borderId="1" xfId="0" applyFont="1" applyFill="1" applyBorder="1" applyAlignment="1">
      <alignment vertical="center" wrapText="1"/>
    </xf>
    <xf numFmtId="0" fontId="26" fillId="4" borderId="2" xfId="0" applyFont="1" applyFill="1" applyBorder="1" applyAlignment="1">
      <alignment vertical="center" wrapText="1"/>
    </xf>
    <xf numFmtId="0" fontId="25" fillId="0" borderId="2" xfId="0" applyFont="1" applyBorder="1" applyAlignment="1">
      <alignment vertical="center"/>
    </xf>
    <xf numFmtId="0" fontId="26" fillId="0" borderId="2" xfId="0" applyFont="1" applyBorder="1" applyAlignment="1">
      <alignment wrapText="1"/>
    </xf>
    <xf numFmtId="0" fontId="26" fillId="4" borderId="3" xfId="0" applyFont="1" applyFill="1" applyBorder="1" applyAlignment="1">
      <alignment vertical="center" wrapText="1"/>
    </xf>
    <xf numFmtId="0" fontId="26" fillId="4" borderId="4" xfId="0" applyFont="1" applyFill="1" applyBorder="1" applyAlignment="1">
      <alignment vertical="center" wrapText="1"/>
    </xf>
    <xf numFmtId="0" fontId="25" fillId="0" borderId="4" xfId="0" applyFont="1" applyBorder="1" applyAlignment="1">
      <alignment vertical="center"/>
    </xf>
    <xf numFmtId="0" fontId="25" fillId="0" borderId="10" xfId="0" applyFont="1" applyBorder="1" applyAlignment="1">
      <alignment horizontal="left" vertical="top" wrapText="1"/>
    </xf>
    <xf numFmtId="0" fontId="26" fillId="0" borderId="0" xfId="0" applyFont="1" applyAlignment="1">
      <alignment vertical="center"/>
    </xf>
    <xf numFmtId="0" fontId="26" fillId="0" borderId="4" xfId="0" applyFont="1" applyBorder="1" applyAlignment="1">
      <alignment vertical="center"/>
    </xf>
    <xf numFmtId="0" fontId="25" fillId="0" borderId="4" xfId="0" applyFont="1" applyBorder="1" applyAlignment="1">
      <alignment wrapText="1"/>
    </xf>
    <xf numFmtId="166" fontId="25" fillId="0" borderId="9" xfId="0" applyNumberFormat="1" applyFont="1" applyBorder="1" applyAlignment="1">
      <alignment horizontal="left" vertical="top" wrapText="1"/>
    </xf>
    <xf numFmtId="20" fontId="25" fillId="0" borderId="4" xfId="0" applyNumberFormat="1" applyFont="1" applyBorder="1" applyAlignment="1">
      <alignment horizontal="left" wrapText="1"/>
    </xf>
    <xf numFmtId="0" fontId="25" fillId="0" borderId="4" xfId="0" quotePrefix="1" applyFont="1" applyBorder="1" applyAlignment="1">
      <alignment wrapText="1"/>
    </xf>
    <xf numFmtId="0" fontId="25" fillId="0" borderId="0" xfId="0" applyFont="1" applyAlignment="1">
      <alignment vertical="center" wrapText="1"/>
    </xf>
    <xf numFmtId="0" fontId="24" fillId="3" borderId="0" xfId="0" applyFont="1" applyFill="1"/>
    <xf numFmtId="0" fontId="24" fillId="3" borderId="0" xfId="0" applyFont="1" applyFill="1" applyAlignment="1">
      <alignment wrapText="1"/>
    </xf>
    <xf numFmtId="0" fontId="24" fillId="3" borderId="0" xfId="0" applyFont="1" applyFill="1" applyAlignment="1">
      <alignment horizontal="center" vertical="center"/>
    </xf>
    <xf numFmtId="0" fontId="27" fillId="3" borderId="0" xfId="0" applyFont="1" applyFill="1" applyAlignment="1">
      <alignment horizontal="center" vertical="center"/>
    </xf>
    <xf numFmtId="0" fontId="27" fillId="3" borderId="0" xfId="0" applyFont="1" applyFill="1"/>
    <xf numFmtId="0" fontId="4" fillId="0" borderId="0" xfId="0" applyFont="1"/>
    <xf numFmtId="0" fontId="25" fillId="0" borderId="0" xfId="0" applyFont="1"/>
    <xf numFmtId="0" fontId="25" fillId="0" borderId="25" xfId="0" applyFont="1" applyBorder="1" applyAlignment="1">
      <alignment wrapText="1"/>
    </xf>
    <xf numFmtId="0" fontId="25" fillId="0" borderId="25" xfId="0" applyFont="1" applyBorder="1" applyAlignment="1">
      <alignment horizontal="center" vertical="center" wrapText="1"/>
    </xf>
    <xf numFmtId="0" fontId="25" fillId="0" borderId="26" xfId="0" applyFont="1" applyBorder="1" applyAlignment="1">
      <alignment horizontal="center" vertical="center" wrapText="1"/>
    </xf>
    <xf numFmtId="0" fontId="28" fillId="0" borderId="3" xfId="0" applyFont="1" applyBorder="1" applyAlignment="1">
      <alignment wrapText="1"/>
    </xf>
    <xf numFmtId="0" fontId="28" fillId="0" borderId="4" xfId="0" applyFont="1" applyBorder="1" applyAlignment="1">
      <alignment horizontal="center" vertical="center"/>
    </xf>
    <xf numFmtId="0" fontId="28" fillId="0" borderId="4" xfId="0" applyFont="1" applyBorder="1" applyAlignment="1">
      <alignment wrapText="1"/>
    </xf>
    <xf numFmtId="0" fontId="29" fillId="0" borderId="0" xfId="0" applyFont="1"/>
    <xf numFmtId="0" fontId="25" fillId="0" borderId="4" xfId="0" applyFont="1" applyBorder="1" applyAlignment="1">
      <alignment vertical="center" wrapText="1"/>
    </xf>
    <xf numFmtId="0" fontId="24" fillId="3" borderId="0" xfId="0" applyFont="1" applyFill="1" applyAlignment="1">
      <alignment horizontal="center" vertical="center" wrapText="1"/>
    </xf>
    <xf numFmtId="14" fontId="24" fillId="3" borderId="0" xfId="0" applyNumberFormat="1" applyFont="1" applyFill="1" applyAlignment="1">
      <alignment vertical="center"/>
    </xf>
    <xf numFmtId="0" fontId="27" fillId="5" borderId="0" xfId="0" applyFont="1" applyFill="1" applyAlignment="1">
      <alignment vertical="center"/>
    </xf>
    <xf numFmtId="0" fontId="27" fillId="5" borderId="0" xfId="0" applyFont="1" applyFill="1" applyAlignment="1">
      <alignment vertical="center" wrapText="1"/>
    </xf>
    <xf numFmtId="0" fontId="27" fillId="5" borderId="0" xfId="0" applyFont="1" applyFill="1" applyAlignment="1">
      <alignment horizontal="center" vertical="center"/>
    </xf>
    <xf numFmtId="14" fontId="27" fillId="5" borderId="0" xfId="0" applyNumberFormat="1" applyFont="1" applyFill="1" applyAlignment="1">
      <alignment vertical="center"/>
    </xf>
    <xf numFmtId="0" fontId="30" fillId="8" borderId="0" xfId="0" applyFont="1" applyFill="1" applyAlignment="1">
      <alignment vertical="center"/>
    </xf>
    <xf numFmtId="0" fontId="31" fillId="8" borderId="0" xfId="0" applyFont="1" applyFill="1" applyAlignment="1" applyProtection="1">
      <alignment vertical="center" wrapText="1"/>
      <protection locked="0"/>
    </xf>
    <xf numFmtId="0" fontId="30" fillId="8" borderId="0" xfId="0" applyFont="1" applyFill="1" applyAlignment="1">
      <alignment vertical="center" wrapText="1"/>
    </xf>
    <xf numFmtId="0" fontId="32" fillId="8" borderId="0" xfId="0" applyFont="1" applyFill="1" applyAlignment="1" applyProtection="1">
      <alignment vertical="center"/>
      <protection locked="0"/>
    </xf>
    <xf numFmtId="0" fontId="33" fillId="0" borderId="11" xfId="0" applyFont="1" applyBorder="1" applyAlignment="1">
      <alignment vertical="center"/>
    </xf>
    <xf numFmtId="0" fontId="34" fillId="0" borderId="11" xfId="0" applyFont="1" applyBorder="1" applyAlignment="1" applyProtection="1">
      <alignment vertical="center" wrapText="1"/>
      <protection locked="0"/>
    </xf>
    <xf numFmtId="0" fontId="31" fillId="0" borderId="11" xfId="0" applyFont="1" applyBorder="1" applyAlignment="1">
      <alignment vertical="center"/>
    </xf>
    <xf numFmtId="0" fontId="30" fillId="0" borderId="0" xfId="0" applyFont="1" applyAlignment="1">
      <alignment vertical="center"/>
    </xf>
    <xf numFmtId="0" fontId="31" fillId="0" borderId="0" xfId="0" applyFont="1" applyAlignment="1" applyProtection="1">
      <alignment vertical="center" wrapText="1"/>
      <protection locked="0"/>
    </xf>
    <xf numFmtId="0" fontId="30" fillId="0" borderId="0" xfId="0" applyFont="1" applyAlignment="1">
      <alignment vertical="center" wrapText="1"/>
    </xf>
    <xf numFmtId="0" fontId="32" fillId="0" borderId="0" xfId="0" applyFont="1" applyAlignment="1" applyProtection="1">
      <alignment vertical="center"/>
      <protection locked="0"/>
    </xf>
    <xf numFmtId="0" fontId="25" fillId="0" borderId="0" xfId="0" quotePrefix="1" applyFont="1" applyAlignment="1">
      <alignment vertical="center" wrapText="1"/>
    </xf>
    <xf numFmtId="0" fontId="25" fillId="0" borderId="0" xfId="0" applyFont="1" applyAlignment="1">
      <alignment horizontal="center" vertical="center" wrapText="1"/>
    </xf>
    <xf numFmtId="14" fontId="25" fillId="0" borderId="0" xfId="0" applyNumberFormat="1" applyFont="1" applyAlignment="1">
      <alignment vertical="center" wrapText="1"/>
    </xf>
    <xf numFmtId="14" fontId="25" fillId="0" borderId="0" xfId="0" applyNumberFormat="1" applyFont="1" applyAlignment="1">
      <alignment vertical="center"/>
    </xf>
    <xf numFmtId="0" fontId="25" fillId="0" borderId="8" xfId="0" applyFont="1" applyBorder="1" applyAlignment="1">
      <alignment vertical="center" wrapText="1"/>
    </xf>
    <xf numFmtId="0" fontId="17" fillId="0" borderId="9" xfId="0" applyFont="1" applyBorder="1" applyAlignment="1">
      <alignment vertical="center"/>
    </xf>
    <xf numFmtId="0" fontId="36" fillId="0" borderId="0" xfId="0" applyFont="1" applyAlignment="1">
      <alignment vertical="center"/>
    </xf>
    <xf numFmtId="0" fontId="31" fillId="0" borderId="0" xfId="0" applyFont="1" applyAlignment="1">
      <alignment vertical="center"/>
    </xf>
    <xf numFmtId="0" fontId="17" fillId="0" borderId="9" xfId="0" applyFont="1" applyBorder="1" applyAlignment="1">
      <alignment vertical="center" wrapText="1"/>
    </xf>
    <xf numFmtId="0" fontId="30" fillId="0" borderId="0" xfId="0" applyFont="1" applyAlignment="1" applyProtection="1">
      <alignment vertical="center" wrapText="1"/>
      <protection locked="0"/>
    </xf>
    <xf numFmtId="0" fontId="30" fillId="0" borderId="0" xfId="0" applyFont="1" applyAlignment="1" applyProtection="1">
      <alignment vertical="center"/>
      <protection locked="0"/>
    </xf>
    <xf numFmtId="0" fontId="37" fillId="0" borderId="0" xfId="0" applyFont="1" applyAlignment="1">
      <alignment vertical="center" wrapText="1"/>
    </xf>
    <xf numFmtId="0" fontId="38" fillId="0" borderId="0" xfId="0" applyFont="1" applyAlignment="1">
      <alignment vertical="center" wrapText="1"/>
    </xf>
    <xf numFmtId="0" fontId="37" fillId="0" borderId="8" xfId="0" applyFont="1" applyBorder="1" applyAlignment="1">
      <alignment vertical="center" wrapText="1"/>
    </xf>
    <xf numFmtId="14" fontId="25" fillId="0" borderId="8" xfId="0" applyNumberFormat="1" applyFont="1" applyBorder="1" applyAlignment="1">
      <alignment vertical="center" wrapText="1"/>
    </xf>
    <xf numFmtId="0" fontId="25" fillId="0" borderId="0" xfId="0" applyFont="1" applyAlignment="1" applyProtection="1">
      <alignment horizontal="center" vertical="center"/>
      <protection locked="0"/>
    </xf>
    <xf numFmtId="0" fontId="25" fillId="0" borderId="0" xfId="0" applyFont="1" applyAlignment="1" applyProtection="1">
      <alignment vertical="center"/>
      <protection locked="0"/>
    </xf>
    <xf numFmtId="0" fontId="27" fillId="9" borderId="0" xfId="0" applyFont="1" applyFill="1" applyAlignment="1">
      <alignment vertical="center"/>
    </xf>
    <xf numFmtId="0" fontId="39" fillId="10" borderId="5" xfId="0" applyFont="1" applyFill="1" applyBorder="1" applyAlignment="1">
      <alignment horizontal="center" vertical="center"/>
    </xf>
    <xf numFmtId="0" fontId="39" fillId="10" borderId="0" xfId="0" applyFont="1" applyFill="1" applyAlignment="1" applyProtection="1">
      <alignment vertical="center"/>
      <protection locked="0"/>
    </xf>
    <xf numFmtId="0" fontId="39" fillId="11" borderId="6" xfId="0" applyFont="1" applyFill="1" applyBorder="1" applyAlignment="1">
      <alignment vertical="center" wrapText="1"/>
    </xf>
    <xf numFmtId="0" fontId="39" fillId="11" borderId="6" xfId="0" applyFont="1" applyFill="1" applyBorder="1" applyAlignment="1">
      <alignment vertical="center"/>
    </xf>
    <xf numFmtId="0" fontId="39" fillId="10" borderId="0" xfId="0" applyFont="1" applyFill="1" applyAlignment="1" applyProtection="1">
      <alignment vertical="center" wrapText="1"/>
      <protection locked="0"/>
    </xf>
    <xf numFmtId="0" fontId="39" fillId="10" borderId="0" xfId="0" applyFont="1" applyFill="1" applyAlignment="1">
      <alignment horizontal="center" vertical="center"/>
    </xf>
    <xf numFmtId="0" fontId="39" fillId="10" borderId="0" xfId="0" applyFont="1" applyFill="1" applyAlignment="1" applyProtection="1">
      <alignment horizontal="center" vertical="center"/>
      <protection locked="0"/>
    </xf>
    <xf numFmtId="14" fontId="39" fillId="11" borderId="6" xfId="0" applyNumberFormat="1" applyFont="1" applyFill="1" applyBorder="1" applyAlignment="1">
      <alignment horizontal="center" vertical="center" wrapText="1"/>
    </xf>
    <xf numFmtId="0" fontId="39" fillId="11" borderId="14" xfId="0" applyFont="1" applyFill="1" applyBorder="1" applyAlignment="1">
      <alignment horizontal="center" vertical="center" wrapText="1"/>
    </xf>
    <xf numFmtId="14" fontId="39" fillId="10" borderId="0" xfId="0" applyNumberFormat="1" applyFont="1" applyFill="1" applyAlignment="1" applyProtection="1">
      <alignment vertical="center"/>
      <protection locked="0"/>
    </xf>
    <xf numFmtId="0" fontId="25" fillId="0" borderId="3" xfId="0" applyFont="1" applyBorder="1" applyAlignment="1">
      <alignment vertical="center" wrapText="1"/>
    </xf>
    <xf numFmtId="0" fontId="37" fillId="2" borderId="3" xfId="0" applyFont="1" applyFill="1" applyBorder="1" applyAlignment="1">
      <alignment vertical="center" wrapText="1"/>
    </xf>
    <xf numFmtId="0" fontId="37" fillId="0" borderId="8" xfId="0" applyFont="1" applyBorder="1" applyAlignment="1">
      <alignment horizontal="center" vertical="center" wrapText="1"/>
    </xf>
    <xf numFmtId="0" fontId="37" fillId="0" borderId="3" xfId="0" applyFont="1" applyBorder="1" applyAlignment="1">
      <alignment vertical="center" wrapText="1"/>
    </xf>
    <xf numFmtId="0" fontId="18" fillId="0" borderId="0" xfId="0" applyFont="1" applyAlignment="1">
      <alignment vertical="center" wrapText="1"/>
    </xf>
    <xf numFmtId="0" fontId="25" fillId="0" borderId="0" xfId="0" applyFont="1" applyAlignment="1" applyProtection="1">
      <alignment horizontal="center" vertical="center" wrapText="1"/>
      <protection locked="0"/>
    </xf>
    <xf numFmtId="14" fontId="25" fillId="2" borderId="20" xfId="0" applyNumberFormat="1" applyFont="1" applyFill="1" applyBorder="1" applyAlignment="1">
      <alignment horizontal="center" vertical="center" wrapText="1"/>
    </xf>
    <xf numFmtId="0" fontId="25" fillId="0" borderId="12" xfId="0" applyFont="1" applyBorder="1" applyAlignment="1">
      <alignment horizontal="center" vertical="center" wrapText="1"/>
    </xf>
    <xf numFmtId="0" fontId="25" fillId="6" borderId="3" xfId="0" applyFont="1" applyFill="1" applyBorder="1" applyAlignment="1">
      <alignment vertical="center" wrapText="1"/>
    </xf>
    <xf numFmtId="0" fontId="25" fillId="0" borderId="1" xfId="0" applyFont="1" applyBorder="1" applyAlignment="1">
      <alignment horizontal="center" vertical="center" wrapText="1"/>
    </xf>
    <xf numFmtId="14" fontId="25" fillId="0" borderId="1" xfId="0" applyNumberFormat="1" applyFont="1" applyBorder="1" applyAlignment="1">
      <alignment horizontal="center" vertical="center" wrapText="1"/>
    </xf>
    <xf numFmtId="0" fontId="40" fillId="0" borderId="0" xfId="0" applyFont="1" applyAlignment="1" applyProtection="1">
      <alignment vertical="center"/>
      <protection locked="0"/>
    </xf>
    <xf numFmtId="0" fontId="25" fillId="2" borderId="1" xfId="0" applyFont="1" applyFill="1" applyBorder="1" applyAlignment="1" applyProtection="1">
      <alignment horizontal="center" vertical="center" wrapText="1"/>
      <protection locked="0"/>
    </xf>
    <xf numFmtId="14" fontId="25" fillId="2" borderId="3" xfId="0" applyNumberFormat="1" applyFont="1" applyFill="1" applyBorder="1" applyAlignment="1">
      <alignment horizontal="center" vertical="center" wrapText="1"/>
    </xf>
    <xf numFmtId="0" fontId="25" fillId="6" borderId="3" xfId="0" applyFont="1" applyFill="1" applyBorder="1" applyAlignment="1">
      <alignment horizontal="center" vertical="center" wrapText="1"/>
    </xf>
    <xf numFmtId="0" fontId="25" fillId="0" borderId="24" xfId="0" applyFont="1" applyBorder="1" applyAlignment="1">
      <alignment horizontal="center" vertical="center" wrapText="1"/>
    </xf>
    <xf numFmtId="0" fontId="25" fillId="0" borderId="2" xfId="0" applyFont="1" applyBorder="1" applyAlignment="1">
      <alignment vertical="center" wrapText="1"/>
    </xf>
    <xf numFmtId="0" fontId="25" fillId="0" borderId="4" xfId="0" applyFont="1" applyBorder="1" applyAlignment="1">
      <alignment horizontal="center" vertical="center" wrapText="1"/>
    </xf>
    <xf numFmtId="0" fontId="25" fillId="0" borderId="2" xfId="0" applyFont="1" applyBorder="1" applyAlignment="1">
      <alignment horizontal="center" vertical="center" wrapText="1"/>
    </xf>
    <xf numFmtId="0" fontId="25" fillId="0" borderId="13" xfId="0" applyFont="1" applyBorder="1" applyAlignment="1">
      <alignment horizontal="center" vertical="center" wrapText="1"/>
    </xf>
    <xf numFmtId="0" fontId="42" fillId="0" borderId="0" xfId="0" applyFont="1" applyAlignment="1">
      <alignment vertical="center"/>
    </xf>
    <xf numFmtId="0" fontId="43" fillId="0" borderId="0" xfId="0" applyFont="1" applyAlignment="1">
      <alignment vertical="center"/>
    </xf>
    <xf numFmtId="0" fontId="17" fillId="0" borderId="8" xfId="0" applyFont="1" applyBorder="1" applyAlignment="1">
      <alignment vertical="center" wrapText="1"/>
    </xf>
    <xf numFmtId="0" fontId="17" fillId="0" borderId="0" xfId="0" applyFont="1" applyAlignment="1">
      <alignment horizontal="center" vertical="center"/>
    </xf>
    <xf numFmtId="14" fontId="21" fillId="0" borderId="20" xfId="0" applyNumberFormat="1" applyFont="1" applyBorder="1" applyAlignment="1">
      <alignment vertical="center" wrapText="1"/>
    </xf>
    <xf numFmtId="0" fontId="17" fillId="0" borderId="8" xfId="0" applyFont="1" applyBorder="1" applyAlignment="1">
      <alignment horizontal="center" vertical="center" wrapText="1"/>
    </xf>
    <xf numFmtId="14" fontId="17" fillId="0" borderId="8" xfId="0" applyNumberFormat="1" applyFont="1" applyBorder="1" applyAlignment="1">
      <alignment vertical="center"/>
    </xf>
    <xf numFmtId="14" fontId="17" fillId="0" borderId="15" xfId="0" applyNumberFormat="1" applyFont="1" applyBorder="1" applyAlignment="1">
      <alignment vertical="center"/>
    </xf>
    <xf numFmtId="14" fontId="17" fillId="0" borderId="20" xfId="0" applyNumberFormat="1" applyFont="1" applyBorder="1" applyAlignment="1">
      <alignment vertical="center" wrapText="1"/>
    </xf>
    <xf numFmtId="0" fontId="17" fillId="0" borderId="20" xfId="0" applyFont="1" applyBorder="1" applyAlignment="1">
      <alignment vertical="center" wrapText="1"/>
    </xf>
    <xf numFmtId="14" fontId="17" fillId="0" borderId="23" xfId="0" applyNumberFormat="1" applyFont="1" applyBorder="1" applyAlignment="1">
      <alignment vertical="center"/>
    </xf>
    <xf numFmtId="0" fontId="19" fillId="0" borderId="0" xfId="0" applyFont="1" applyAlignment="1">
      <alignment vertical="center" wrapText="1"/>
    </xf>
    <xf numFmtId="0" fontId="17" fillId="0" borderId="0" xfId="0" applyFont="1" applyAlignment="1">
      <alignment horizontal="center" vertical="center" wrapText="1"/>
    </xf>
    <xf numFmtId="14" fontId="17" fillId="0" borderId="0" xfId="0" applyNumberFormat="1" applyFont="1" applyAlignment="1">
      <alignment vertical="center" wrapText="1"/>
    </xf>
    <xf numFmtId="14" fontId="17" fillId="0" borderId="0" xfId="0" applyNumberFormat="1" applyFont="1" applyAlignment="1">
      <alignment vertical="center"/>
    </xf>
    <xf numFmtId="14" fontId="25" fillId="0" borderId="20" xfId="0" applyNumberFormat="1" applyFont="1" applyBorder="1" applyAlignment="1">
      <alignment vertical="center" wrapText="1"/>
    </xf>
    <xf numFmtId="0" fontId="25" fillId="0" borderId="20" xfId="0" applyFont="1" applyBorder="1" applyAlignment="1">
      <alignment vertical="center" wrapText="1"/>
    </xf>
    <xf numFmtId="0" fontId="17" fillId="0" borderId="15" xfId="0" applyFont="1" applyBorder="1" applyAlignment="1">
      <alignment vertical="center" wrapText="1"/>
    </xf>
    <xf numFmtId="0" fontId="19" fillId="0" borderId="8" xfId="0" applyFont="1" applyBorder="1" applyAlignment="1">
      <alignment vertical="center" wrapText="1"/>
    </xf>
    <xf numFmtId="0" fontId="35" fillId="7" borderId="2" xfId="0" applyFont="1" applyFill="1" applyBorder="1" applyAlignment="1">
      <alignment horizontal="center" vertical="center"/>
    </xf>
    <xf numFmtId="0" fontId="17" fillId="0" borderId="27" xfId="0" applyFont="1" applyBorder="1" applyAlignment="1">
      <alignment vertical="center" wrapText="1"/>
    </xf>
    <xf numFmtId="0" fontId="35" fillId="0" borderId="27" xfId="0" applyFont="1" applyBorder="1" applyAlignment="1">
      <alignment vertical="center" wrapText="1"/>
    </xf>
    <xf numFmtId="0" fontId="25" fillId="7" borderId="0" xfId="0" applyFont="1" applyFill="1" applyAlignment="1">
      <alignment horizontal="center" vertical="center" wrapText="1"/>
    </xf>
    <xf numFmtId="0" fontId="20" fillId="13" borderId="30" xfId="5" applyNumberFormat="1" applyFill="1" applyBorder="1"/>
    <xf numFmtId="0" fontId="19" fillId="6" borderId="27" xfId="0" applyFont="1" applyFill="1" applyBorder="1" applyAlignment="1">
      <alignment vertical="center" wrapText="1"/>
    </xf>
    <xf numFmtId="0" fontId="17" fillId="6" borderId="8" xfId="0" applyFont="1" applyFill="1" applyBorder="1" applyAlignment="1">
      <alignment vertical="center" wrapText="1"/>
    </xf>
    <xf numFmtId="0" fontId="17" fillId="0" borderId="32" xfId="0" applyFont="1" applyBorder="1" applyAlignment="1">
      <alignment horizontal="center" vertical="center" wrapText="1"/>
    </xf>
    <xf numFmtId="0" fontId="25" fillId="0" borderId="32" xfId="0" applyFont="1" applyBorder="1" applyAlignment="1">
      <alignment horizontal="center" vertical="center" wrapText="1"/>
    </xf>
    <xf numFmtId="14" fontId="25" fillId="0" borderId="33" xfId="0" applyNumberFormat="1" applyFont="1" applyBorder="1" applyAlignment="1">
      <alignment vertical="center" wrapText="1"/>
    </xf>
    <xf numFmtId="14" fontId="17" fillId="0" borderId="33" xfId="0" applyNumberFormat="1" applyFont="1" applyBorder="1" applyAlignment="1">
      <alignment vertical="center" wrapText="1"/>
    </xf>
    <xf numFmtId="0" fontId="47" fillId="0" borderId="8" xfId="0" applyFont="1" applyBorder="1" applyAlignment="1">
      <alignment vertical="center" wrapText="1"/>
    </xf>
    <xf numFmtId="0" fontId="44" fillId="0" borderId="20" xfId="0" applyFont="1" applyBorder="1" applyAlignment="1">
      <alignment horizontal="left" vertical="center" wrapText="1"/>
    </xf>
    <xf numFmtId="0" fontId="46" fillId="0" borderId="20" xfId="0" applyFont="1" applyBorder="1" applyAlignment="1">
      <alignment horizontal="left" vertical="center" wrapText="1"/>
    </xf>
    <xf numFmtId="0" fontId="25" fillId="0" borderId="20" xfId="0" applyFont="1" applyBorder="1" applyAlignment="1">
      <alignment horizontal="center" vertical="center" wrapText="1"/>
    </xf>
    <xf numFmtId="0" fontId="25" fillId="0" borderId="20" xfId="0" applyFont="1" applyBorder="1" applyAlignment="1" applyProtection="1">
      <alignment horizontal="center" vertical="center"/>
      <protection locked="0"/>
    </xf>
    <xf numFmtId="0" fontId="25" fillId="0" borderId="20" xfId="0" applyFont="1" applyBorder="1" applyAlignment="1" applyProtection="1">
      <alignment vertical="center"/>
      <protection locked="0"/>
    </xf>
    <xf numFmtId="14" fontId="25" fillId="0" borderId="20" xfId="0" applyNumberFormat="1" applyFont="1" applyBorder="1" applyAlignment="1">
      <alignment vertical="center"/>
    </xf>
    <xf numFmtId="0" fontId="25" fillId="7" borderId="2" xfId="0" applyFont="1" applyFill="1" applyBorder="1" applyAlignment="1">
      <alignment horizontal="center" vertical="center" wrapText="1"/>
    </xf>
    <xf numFmtId="164" fontId="19" fillId="0" borderId="8" xfId="0" applyNumberFormat="1" applyFont="1" applyBorder="1" applyAlignment="1">
      <alignment vertical="center" wrapText="1"/>
    </xf>
    <xf numFmtId="0" fontId="3" fillId="0" borderId="0" xfId="0" applyFont="1" applyAlignment="1">
      <alignment vertical="center"/>
    </xf>
    <xf numFmtId="0" fontId="17" fillId="6" borderId="32" xfId="0" applyFont="1" applyFill="1" applyBorder="1" applyAlignment="1">
      <alignment vertical="center" wrapText="1"/>
    </xf>
    <xf numFmtId="0" fontId="26" fillId="0" borderId="28" xfId="0" applyFont="1" applyBorder="1" applyAlignment="1">
      <alignment wrapText="1"/>
    </xf>
    <xf numFmtId="0" fontId="25" fillId="0" borderId="27" xfId="0" applyFont="1" applyBorder="1" applyAlignment="1">
      <alignment horizontal="left" vertical="top" wrapText="1"/>
    </xf>
    <xf numFmtId="0" fontId="25" fillId="0" borderId="34" xfId="0" applyFont="1" applyBorder="1" applyAlignment="1">
      <alignment wrapText="1"/>
    </xf>
    <xf numFmtId="166" fontId="25" fillId="0" borderId="8" xfId="0" applyNumberFormat="1" applyFont="1" applyBorder="1" applyAlignment="1">
      <alignment horizontal="left" vertical="top" wrapText="1"/>
    </xf>
    <xf numFmtId="20" fontId="25" fillId="0" borderId="34" xfId="0" applyNumberFormat="1" applyFont="1" applyBorder="1" applyAlignment="1">
      <alignment horizontal="left" wrapText="1"/>
    </xf>
    <xf numFmtId="0" fontId="25" fillId="0" borderId="34" xfId="0" quotePrefix="1" applyFont="1" applyBorder="1" applyAlignment="1">
      <alignment wrapText="1"/>
    </xf>
    <xf numFmtId="0" fontId="25" fillId="0" borderId="13" xfId="0" applyFont="1" applyBorder="1" applyAlignment="1">
      <alignment vertical="center"/>
    </xf>
    <xf numFmtId="0" fontId="25" fillId="0" borderId="35" xfId="0" applyFont="1" applyBorder="1" applyAlignment="1">
      <alignment vertical="center"/>
    </xf>
    <xf numFmtId="0" fontId="26" fillId="0" borderId="35" xfId="0" applyFont="1" applyBorder="1" applyAlignment="1">
      <alignment vertical="center"/>
    </xf>
    <xf numFmtId="0" fontId="5" fillId="16" borderId="38" xfId="0" applyFont="1" applyFill="1" applyBorder="1"/>
    <xf numFmtId="0" fontId="5" fillId="0" borderId="39" xfId="0" applyFont="1" applyBorder="1"/>
    <xf numFmtId="0" fontId="5" fillId="0" borderId="40" xfId="0" applyFont="1" applyBorder="1"/>
    <xf numFmtId="0" fontId="5" fillId="0" borderId="41" xfId="0" applyFont="1" applyBorder="1"/>
    <xf numFmtId="0" fontId="5" fillId="14" borderId="41" xfId="0" applyFont="1" applyFill="1" applyBorder="1"/>
    <xf numFmtId="0" fontId="5" fillId="15" borderId="41" xfId="0" applyFont="1" applyFill="1" applyBorder="1"/>
    <xf numFmtId="0" fontId="5" fillId="0" borderId="42" xfId="0" applyFont="1" applyBorder="1"/>
    <xf numFmtId="0" fontId="49" fillId="15" borderId="36" xfId="0" applyFont="1" applyFill="1" applyBorder="1" applyAlignment="1">
      <alignment vertical="center" wrapText="1"/>
    </xf>
    <xf numFmtId="0" fontId="49" fillId="15" borderId="37" xfId="0" applyFont="1" applyFill="1" applyBorder="1" applyAlignment="1">
      <alignment vertical="center" wrapText="1"/>
    </xf>
    <xf numFmtId="0" fontId="0" fillId="0" borderId="0" xfId="0" applyAlignment="1">
      <alignment vertical="center" wrapText="1"/>
    </xf>
    <xf numFmtId="0" fontId="17" fillId="10" borderId="8" xfId="0" applyFont="1" applyFill="1" applyBorder="1" applyAlignment="1">
      <alignment vertical="center" wrapText="1"/>
    </xf>
    <xf numFmtId="0" fontId="51" fillId="0" borderId="0" xfId="0" applyFont="1"/>
    <xf numFmtId="0" fontId="0" fillId="13" borderId="29" xfId="0" applyFill="1" applyBorder="1"/>
    <xf numFmtId="0" fontId="0" fillId="13" borderId="30" xfId="0" applyFill="1" applyBorder="1"/>
    <xf numFmtId="0" fontId="0" fillId="13" borderId="30" xfId="3" applyFont="1" applyFill="1" applyBorder="1"/>
    <xf numFmtId="0" fontId="0" fillId="13" borderId="31" xfId="0" applyFill="1" applyBorder="1"/>
    <xf numFmtId="0" fontId="52" fillId="0" borderId="9" xfId="0" applyFont="1" applyBorder="1" applyAlignment="1">
      <alignment vertical="center"/>
    </xf>
    <xf numFmtId="0" fontId="0" fillId="0" borderId="8" xfId="0" applyBorder="1" applyAlignment="1">
      <alignment wrapText="1"/>
    </xf>
    <xf numFmtId="0" fontId="25" fillId="0" borderId="10" xfId="0" applyFont="1" applyBorder="1" applyAlignment="1">
      <alignment horizontal="center" vertical="center" wrapText="1"/>
    </xf>
    <xf numFmtId="0" fontId="25" fillId="0" borderId="8" xfId="0" applyFont="1" applyBorder="1" applyAlignment="1">
      <alignment horizontal="center" vertical="center" wrapText="1"/>
    </xf>
    <xf numFmtId="0" fontId="50" fillId="0" borderId="8" xfId="0" applyFont="1" applyBorder="1" applyAlignment="1">
      <alignment horizontal="center" vertical="center" wrapText="1"/>
    </xf>
    <xf numFmtId="0" fontId="25" fillId="0" borderId="43" xfId="0" applyFont="1" applyBorder="1" applyAlignment="1">
      <alignment vertical="center" wrapText="1"/>
    </xf>
    <xf numFmtId="0" fontId="25" fillId="0" borderId="43" xfId="0" applyFont="1" applyBorder="1" applyAlignment="1">
      <alignment vertical="center"/>
    </xf>
    <xf numFmtId="0" fontId="25" fillId="0" borderId="44" xfId="0" applyFont="1" applyBorder="1" applyAlignment="1">
      <alignment vertical="center"/>
    </xf>
    <xf numFmtId="0" fontId="37" fillId="0" borderId="4" xfId="0" applyFont="1" applyBorder="1" applyAlignment="1">
      <alignment horizontal="center" vertical="center"/>
    </xf>
    <xf numFmtId="0" fontId="37" fillId="0" borderId="3" xfId="0" applyFont="1" applyBorder="1" applyAlignment="1">
      <alignment wrapText="1"/>
    </xf>
    <xf numFmtId="0" fontId="37" fillId="0" borderId="4" xfId="0" applyFont="1" applyBorder="1" applyAlignment="1">
      <alignment wrapText="1"/>
    </xf>
    <xf numFmtId="0" fontId="21" fillId="0" borderId="8" xfId="0" applyFont="1" applyBorder="1" applyAlignment="1">
      <alignment vertical="center" wrapText="1"/>
    </xf>
    <xf numFmtId="0" fontId="17" fillId="10" borderId="9" xfId="0" applyFont="1" applyFill="1" applyBorder="1" applyAlignment="1">
      <alignment vertical="center" wrapText="1"/>
    </xf>
    <xf numFmtId="14" fontId="24" fillId="3" borderId="0" xfId="0" applyNumberFormat="1" applyFont="1" applyFill="1" applyAlignment="1">
      <alignment horizontal="center" vertical="center"/>
    </xf>
    <xf numFmtId="14" fontId="2" fillId="0" borderId="0" xfId="0" applyNumberFormat="1" applyFont="1" applyAlignment="1">
      <alignment vertical="center"/>
    </xf>
    <xf numFmtId="0" fontId="2" fillId="0" borderId="0" xfId="0" applyFont="1" applyAlignment="1">
      <alignment vertical="center"/>
    </xf>
    <xf numFmtId="0" fontId="2" fillId="0" borderId="8" xfId="0" applyFont="1" applyBorder="1" applyAlignment="1">
      <alignment vertical="center" wrapText="1"/>
    </xf>
    <xf numFmtId="0" fontId="2" fillId="10" borderId="27" xfId="0" applyFont="1" applyFill="1" applyBorder="1" applyAlignment="1">
      <alignment vertical="center" wrapText="1"/>
    </xf>
    <xf numFmtId="0" fontId="2" fillId="6" borderId="27" xfId="0" applyFont="1" applyFill="1" applyBorder="1" applyAlignment="1">
      <alignment vertical="center" wrapText="1"/>
    </xf>
    <xf numFmtId="0" fontId="2" fillId="6" borderId="8" xfId="0" applyFont="1" applyFill="1" applyBorder="1" applyAlignment="1">
      <alignment vertical="center" wrapText="1"/>
    </xf>
    <xf numFmtId="0" fontId="2" fillId="6" borderId="10" xfId="0" applyFont="1" applyFill="1" applyBorder="1" applyAlignment="1">
      <alignment vertical="center" wrapText="1"/>
    </xf>
    <xf numFmtId="0" fontId="2" fillId="0" borderId="20" xfId="0" applyFont="1" applyBorder="1" applyAlignment="1">
      <alignment vertical="center" wrapText="1"/>
    </xf>
    <xf numFmtId="0" fontId="6" fillId="0" borderId="18" xfId="0" applyFont="1" applyBorder="1" applyAlignment="1">
      <alignment vertical="center"/>
    </xf>
    <xf numFmtId="0" fontId="25" fillId="5" borderId="0" xfId="0" applyFont="1" applyFill="1" applyAlignment="1">
      <alignment horizontal="center" vertical="center" wrapText="1"/>
    </xf>
    <xf numFmtId="14" fontId="25" fillId="5" borderId="0" xfId="0" applyNumberFormat="1" applyFont="1" applyFill="1" applyAlignment="1">
      <alignment vertical="center" wrapText="1"/>
    </xf>
    <xf numFmtId="0" fontId="25" fillId="5" borderId="0" xfId="0" applyFont="1" applyFill="1" applyAlignment="1">
      <alignment vertical="center" wrapText="1"/>
    </xf>
    <xf numFmtId="0" fontId="0" fillId="5" borderId="0" xfId="0" applyFill="1" applyAlignment="1">
      <alignment vertical="center"/>
    </xf>
    <xf numFmtId="0" fontId="25" fillId="0" borderId="16" xfId="0" applyFont="1" applyBorder="1" applyAlignment="1">
      <alignment vertical="center" wrapText="1"/>
    </xf>
    <xf numFmtId="0" fontId="25" fillId="0" borderId="45" xfId="0" applyFont="1" applyBorder="1" applyAlignment="1">
      <alignment vertical="center" wrapText="1"/>
    </xf>
    <xf numFmtId="0" fontId="25" fillId="0" borderId="16" xfId="0" applyFont="1" applyBorder="1" applyAlignment="1">
      <alignment horizontal="center" vertical="center" wrapText="1"/>
    </xf>
    <xf numFmtId="14" fontId="25" fillId="0" borderId="16" xfId="0" applyNumberFormat="1" applyFont="1" applyBorder="1" applyAlignment="1">
      <alignment vertical="center" wrapText="1"/>
    </xf>
    <xf numFmtId="14" fontId="25" fillId="0" borderId="45" xfId="0" applyNumberFormat="1" applyFont="1" applyBorder="1" applyAlignment="1">
      <alignment horizontal="center" vertical="center" wrapText="1"/>
    </xf>
    <xf numFmtId="0" fontId="0" fillId="0" borderId="45" xfId="0" applyBorder="1" applyAlignment="1">
      <alignment horizontal="center" vertical="center" wrapText="1"/>
    </xf>
    <xf numFmtId="0" fontId="25" fillId="0" borderId="46" xfId="0" applyFont="1" applyBorder="1" applyAlignment="1">
      <alignment horizontal="center" vertical="center" wrapText="1"/>
    </xf>
    <xf numFmtId="0" fontId="53" fillId="5" borderId="0" xfId="0" applyFont="1" applyFill="1" applyAlignment="1">
      <alignment vertical="center"/>
    </xf>
    <xf numFmtId="0" fontId="54" fillId="8" borderId="0" xfId="0" applyFont="1" applyFill="1" applyAlignment="1" applyProtection="1">
      <alignment vertical="center"/>
      <protection locked="0"/>
    </xf>
    <xf numFmtId="0" fontId="55" fillId="0" borderId="0" xfId="0" applyFont="1" applyAlignment="1">
      <alignment vertical="center"/>
    </xf>
    <xf numFmtId="0" fontId="55" fillId="0" borderId="0" xfId="0" applyFont="1" applyAlignment="1" applyProtection="1">
      <alignment vertical="center" wrapText="1"/>
      <protection locked="0"/>
    </xf>
    <xf numFmtId="0" fontId="55" fillId="0" borderId="0" xfId="0" applyFont="1" applyAlignment="1">
      <alignment vertical="center" wrapText="1"/>
    </xf>
    <xf numFmtId="0" fontId="55" fillId="0" borderId="0" xfId="0" applyFont="1" applyAlignment="1" applyProtection="1">
      <alignment vertical="center"/>
      <protection locked="0"/>
    </xf>
    <xf numFmtId="0" fontId="56" fillId="0" borderId="0" xfId="0" applyFont="1" applyAlignment="1" applyProtection="1">
      <alignment vertical="center" wrapText="1"/>
      <protection locked="0"/>
    </xf>
    <xf numFmtId="0" fontId="54" fillId="0" borderId="0" xfId="0" applyFont="1" applyAlignment="1" applyProtection="1">
      <alignment vertical="center"/>
      <protection locked="0"/>
    </xf>
    <xf numFmtId="0" fontId="55" fillId="8" borderId="0" xfId="0" applyFont="1" applyFill="1" applyAlignment="1">
      <alignment vertical="center"/>
    </xf>
    <xf numFmtId="0" fontId="56" fillId="8" borderId="0" xfId="0" applyFont="1" applyFill="1" applyAlignment="1" applyProtection="1">
      <alignment vertical="center" wrapText="1"/>
      <protection locked="0"/>
    </xf>
    <xf numFmtId="0" fontId="55" fillId="8" borderId="0" xfId="0" applyFont="1" applyFill="1" applyAlignment="1">
      <alignment vertical="center" wrapText="1"/>
    </xf>
    <xf numFmtId="0" fontId="56" fillId="0" borderId="0" xfId="0" applyFont="1" applyAlignment="1">
      <alignment vertical="center"/>
    </xf>
    <xf numFmtId="0" fontId="55" fillId="5" borderId="0" xfId="0" applyFont="1" applyFill="1" applyAlignment="1">
      <alignment vertical="center"/>
    </xf>
    <xf numFmtId="0" fontId="55" fillId="9" borderId="0" xfId="0" applyFont="1" applyFill="1" applyAlignment="1">
      <alignment vertical="center"/>
    </xf>
    <xf numFmtId="0" fontId="57" fillId="0" borderId="8" xfId="0" applyFont="1" applyBorder="1" applyAlignment="1">
      <alignment vertical="center" wrapText="1"/>
    </xf>
    <xf numFmtId="0" fontId="2" fillId="0" borderId="0" xfId="0" applyFont="1"/>
    <xf numFmtId="0" fontId="51" fillId="0" borderId="3" xfId="0" applyFont="1" applyBorder="1" applyAlignment="1">
      <alignment wrapText="1"/>
    </xf>
    <xf numFmtId="0" fontId="51" fillId="0" borderId="4" xfId="0" applyFont="1" applyBorder="1" applyAlignment="1">
      <alignment horizontal="center" vertical="center"/>
    </xf>
    <xf numFmtId="0" fontId="51" fillId="0" borderId="4" xfId="0" applyFont="1" applyBorder="1" applyAlignment="1">
      <alignment wrapText="1"/>
    </xf>
    <xf numFmtId="0" fontId="25" fillId="7" borderId="8" xfId="0" applyFont="1" applyFill="1" applyBorder="1" applyAlignment="1">
      <alignment horizontal="center" vertical="center" wrapText="1"/>
    </xf>
    <xf numFmtId="0" fontId="34" fillId="0" borderId="0" xfId="0" applyFont="1" applyAlignment="1" applyProtection="1">
      <alignment vertical="center" wrapText="1"/>
      <protection locked="0"/>
    </xf>
    <xf numFmtId="164" fontId="17" fillId="0" borderId="8" xfId="0" applyNumberFormat="1" applyFont="1" applyBorder="1" applyAlignment="1">
      <alignment vertical="center" wrapText="1"/>
    </xf>
    <xf numFmtId="9" fontId="17" fillId="0" borderId="8" xfId="0" applyNumberFormat="1" applyFont="1" applyBorder="1" applyAlignment="1">
      <alignment horizontal="left" vertical="center" wrapText="1"/>
    </xf>
    <xf numFmtId="0" fontId="52" fillId="0" borderId="8" xfId="0" applyFont="1" applyBorder="1" applyAlignment="1">
      <alignment vertical="center" wrapText="1"/>
    </xf>
    <xf numFmtId="0" fontId="17" fillId="6" borderId="27" xfId="0" applyFont="1" applyFill="1" applyBorder="1" applyAlignment="1">
      <alignment vertical="center" wrapText="1"/>
    </xf>
    <xf numFmtId="0" fontId="19" fillId="6" borderId="8" xfId="0" applyFont="1" applyFill="1" applyBorder="1" applyAlignment="1">
      <alignment vertical="center" wrapText="1"/>
    </xf>
    <xf numFmtId="0" fontId="21" fillId="0" borderId="20" xfId="0" applyFont="1" applyBorder="1" applyAlignment="1">
      <alignment vertical="center" wrapText="1"/>
    </xf>
    <xf numFmtId="0" fontId="5" fillId="0" borderId="8" xfId="0" applyFont="1" applyBorder="1" applyAlignment="1">
      <alignment vertical="center" wrapText="1"/>
    </xf>
    <xf numFmtId="14" fontId="2" fillId="0" borderId="11" xfId="0" applyNumberFormat="1" applyFont="1" applyBorder="1" applyAlignment="1">
      <alignment vertical="center"/>
    </xf>
    <xf numFmtId="0" fontId="2" fillId="0" borderId="0" xfId="0" applyFont="1" applyAlignment="1">
      <alignment vertical="center" wrapText="1"/>
    </xf>
    <xf numFmtId="0" fontId="2" fillId="8" borderId="0" xfId="0" applyFont="1" applyFill="1" applyAlignment="1">
      <alignment vertical="center"/>
    </xf>
    <xf numFmtId="0" fontId="2" fillId="0" borderId="0" xfId="0" applyFont="1" applyAlignment="1" applyProtection="1">
      <alignment vertical="center"/>
      <protection locked="0"/>
    </xf>
    <xf numFmtId="0" fontId="59" fillId="0" borderId="8" xfId="0" applyFont="1" applyBorder="1" applyAlignment="1">
      <alignment vertical="center" wrapText="1"/>
    </xf>
    <xf numFmtId="0" fontId="58" fillId="0" borderId="8" xfId="0" applyFont="1" applyBorder="1" applyAlignment="1">
      <alignment vertical="center" wrapText="1"/>
    </xf>
    <xf numFmtId="0" fontId="60" fillId="0" borderId="8" xfId="0" applyFont="1" applyBorder="1" applyAlignment="1">
      <alignment horizontal="center" vertical="center" wrapText="1"/>
    </xf>
    <xf numFmtId="0" fontId="60" fillId="0" borderId="8" xfId="0" applyFont="1" applyBorder="1" applyAlignment="1">
      <alignment vertical="center" wrapText="1"/>
    </xf>
    <xf numFmtId="14" fontId="58" fillId="0" borderId="8" xfId="0" applyNumberFormat="1" applyFont="1" applyBorder="1" applyAlignment="1">
      <alignment vertical="center"/>
    </xf>
    <xf numFmtId="0" fontId="58" fillId="0" borderId="27" xfId="0" applyFont="1" applyBorder="1" applyAlignment="1">
      <alignment vertical="center" wrapText="1"/>
    </xf>
    <xf numFmtId="0" fontId="59" fillId="0" borderId="27" xfId="0" applyFont="1" applyBorder="1" applyAlignment="1">
      <alignment vertical="center" wrapText="1"/>
    </xf>
    <xf numFmtId="0" fontId="60" fillId="0" borderId="20" xfId="0" applyFont="1" applyBorder="1" applyAlignment="1">
      <alignment vertical="center" wrapText="1"/>
    </xf>
    <xf numFmtId="0" fontId="60" fillId="0" borderId="0" xfId="0" applyFont="1" applyAlignment="1">
      <alignment vertical="center" wrapText="1"/>
    </xf>
    <xf numFmtId="0" fontId="61" fillId="0" borderId="0" xfId="0" applyFont="1" applyAlignment="1">
      <alignment vertical="center"/>
    </xf>
    <xf numFmtId="0" fontId="58" fillId="0" borderId="15" xfId="0" applyFont="1" applyBorder="1" applyAlignment="1">
      <alignment vertical="center" wrapText="1"/>
    </xf>
    <xf numFmtId="14" fontId="60" fillId="0" borderId="8" xfId="0" applyNumberFormat="1" applyFont="1" applyBorder="1" applyAlignment="1">
      <alignment vertical="center" wrapText="1"/>
    </xf>
    <xf numFmtId="0" fontId="58" fillId="0" borderId="9" xfId="0" applyFont="1" applyBorder="1" applyAlignment="1">
      <alignment vertical="center" wrapText="1"/>
    </xf>
    <xf numFmtId="14" fontId="60" fillId="0" borderId="20" xfId="0" applyNumberFormat="1" applyFont="1" applyBorder="1" applyAlignment="1">
      <alignment vertical="center" wrapText="1"/>
    </xf>
    <xf numFmtId="0" fontId="60" fillId="0" borderId="2" xfId="0" applyFont="1" applyBorder="1" applyAlignment="1">
      <alignment horizontal="center" vertical="center" wrapText="1"/>
    </xf>
    <xf numFmtId="0" fontId="62" fillId="0" borderId="8" xfId="0" applyFont="1" applyBorder="1" applyAlignment="1">
      <alignment wrapText="1"/>
    </xf>
    <xf numFmtId="14" fontId="60" fillId="0" borderId="33" xfId="0" applyNumberFormat="1" applyFont="1" applyBorder="1" applyAlignment="1">
      <alignment vertical="center" wrapText="1"/>
    </xf>
    <xf numFmtId="0" fontId="58" fillId="6" borderId="8" xfId="0" applyFont="1" applyFill="1" applyBorder="1" applyAlignment="1">
      <alignment vertical="center" wrapText="1"/>
    </xf>
    <xf numFmtId="0" fontId="59" fillId="6" borderId="8" xfId="0" applyFont="1" applyFill="1" applyBorder="1" applyAlignment="1">
      <alignment vertical="center" wrapText="1"/>
    </xf>
    <xf numFmtId="0" fontId="25" fillId="0" borderId="3" xfId="0" applyFont="1" applyBorder="1" applyAlignment="1">
      <alignment wrapText="1"/>
    </xf>
    <xf numFmtId="0" fontId="25" fillId="0" borderId="4" xfId="0" applyFont="1" applyBorder="1" applyAlignment="1">
      <alignment horizontal="center" vertical="center"/>
    </xf>
    <xf numFmtId="0" fontId="58" fillId="10" borderId="8" xfId="0" applyFont="1" applyFill="1" applyBorder="1" applyAlignment="1">
      <alignment vertical="center" wrapText="1"/>
    </xf>
    <xf numFmtId="0" fontId="63" fillId="0" borderId="8" xfId="0" applyFont="1" applyBorder="1" applyAlignment="1">
      <alignment vertical="center" wrapText="1"/>
    </xf>
    <xf numFmtId="0" fontId="59" fillId="0" borderId="20" xfId="0" applyFont="1" applyBorder="1" applyAlignment="1">
      <alignment vertical="center" wrapText="1"/>
    </xf>
    <xf numFmtId="0" fontId="25" fillId="0" borderId="47" xfId="0" applyFont="1" applyBorder="1" applyAlignment="1">
      <alignment horizontal="center" vertical="center" wrapText="1"/>
    </xf>
    <xf numFmtId="0" fontId="25" fillId="0" borderId="48" xfId="0" applyFont="1" applyBorder="1" applyAlignment="1">
      <alignment horizontal="center" vertical="center" wrapText="1"/>
    </xf>
    <xf numFmtId="0" fontId="17" fillId="0" borderId="49" xfId="0" applyFont="1" applyBorder="1" applyAlignment="1">
      <alignment horizontal="center" vertical="center" wrapText="1"/>
    </xf>
    <xf numFmtId="0" fontId="25" fillId="0" borderId="49" xfId="0" applyFont="1" applyBorder="1" applyAlignment="1">
      <alignment horizontal="center" vertical="center" wrapText="1"/>
    </xf>
    <xf numFmtId="0" fontId="60" fillId="0" borderId="9" xfId="0" applyFont="1" applyBorder="1" applyAlignment="1">
      <alignment horizontal="center" vertical="center" wrapText="1"/>
    </xf>
    <xf numFmtId="0" fontId="25" fillId="0" borderId="9" xfId="0" applyFont="1" applyBorder="1" applyAlignment="1">
      <alignment horizontal="center" vertical="center" wrapText="1"/>
    </xf>
    <xf numFmtId="0" fontId="60" fillId="0" borderId="48" xfId="0" applyFont="1" applyBorder="1" applyAlignment="1">
      <alignment horizontal="center" vertical="center" wrapText="1"/>
    </xf>
    <xf numFmtId="0" fontId="0" fillId="0" borderId="8" xfId="0" applyBorder="1" applyAlignment="1">
      <alignment vertical="center" wrapText="1"/>
    </xf>
    <xf numFmtId="0" fontId="63" fillId="0" borderId="27" xfId="0" applyFont="1" applyBorder="1" applyAlignment="1">
      <alignment vertical="center" wrapText="1"/>
    </xf>
    <xf numFmtId="0" fontId="2" fillId="6" borderId="22" xfId="0" applyFont="1" applyFill="1" applyBorder="1" applyAlignment="1">
      <alignment vertical="center"/>
    </xf>
    <xf numFmtId="0" fontId="58" fillId="0" borderId="20" xfId="0" applyFont="1" applyBorder="1" applyAlignment="1">
      <alignment vertical="center" wrapText="1"/>
    </xf>
    <xf numFmtId="164" fontId="63" fillId="0" borderId="8" xfId="0" applyNumberFormat="1" applyFont="1" applyBorder="1" applyAlignment="1">
      <alignment vertical="center" wrapText="1"/>
    </xf>
    <xf numFmtId="0" fontId="58" fillId="10" borderId="9" xfId="0" applyFont="1" applyFill="1" applyBorder="1" applyAlignment="1">
      <alignment vertical="center" wrapText="1"/>
    </xf>
    <xf numFmtId="0" fontId="19" fillId="0" borderId="15" xfId="0" applyFont="1" applyBorder="1" applyAlignment="1">
      <alignment vertical="center" wrapText="1"/>
    </xf>
    <xf numFmtId="0" fontId="25" fillId="0" borderId="50" xfId="0" applyFont="1" applyBorder="1" applyAlignment="1">
      <alignment horizontal="center" vertical="center" wrapText="1"/>
    </xf>
    <xf numFmtId="0" fontId="0" fillId="6" borderId="8" xfId="0" applyFill="1" applyBorder="1" applyAlignment="1">
      <alignment vertical="center" wrapText="1"/>
    </xf>
    <xf numFmtId="9" fontId="58" fillId="0" borderId="8" xfId="0" applyNumberFormat="1" applyFont="1" applyBorder="1" applyAlignment="1">
      <alignment horizontal="left" vertical="center" wrapText="1"/>
    </xf>
    <xf numFmtId="0" fontId="60" fillId="0" borderId="49" xfId="0" applyFont="1" applyBorder="1" applyAlignment="1">
      <alignment horizontal="center" vertical="center" wrapText="1"/>
    </xf>
    <xf numFmtId="167" fontId="58" fillId="0" borderId="8" xfId="0" applyNumberFormat="1" applyFont="1" applyBorder="1" applyAlignment="1">
      <alignment vertical="center"/>
    </xf>
    <xf numFmtId="167" fontId="60" fillId="0" borderId="8" xfId="0" applyNumberFormat="1" applyFont="1" applyBorder="1" applyAlignment="1">
      <alignment vertical="center" wrapText="1"/>
    </xf>
    <xf numFmtId="167" fontId="60" fillId="0" borderId="20" xfId="0" applyNumberFormat="1" applyFont="1" applyBorder="1" applyAlignment="1">
      <alignment vertical="center" wrapText="1"/>
    </xf>
    <xf numFmtId="9" fontId="5" fillId="0" borderId="8" xfId="0" applyNumberFormat="1" applyFont="1" applyBorder="1" applyAlignment="1">
      <alignment horizontal="left" vertical="center" wrapText="1" indent="1"/>
    </xf>
    <xf numFmtId="0" fontId="58" fillId="6" borderId="15" xfId="0" applyFont="1" applyFill="1" applyBorder="1" applyAlignment="1">
      <alignment vertical="center" wrapText="1"/>
    </xf>
    <xf numFmtId="0" fontId="17" fillId="6" borderId="15" xfId="0" applyFont="1" applyFill="1" applyBorder="1" applyAlignment="1">
      <alignment vertical="center" wrapText="1"/>
    </xf>
    <xf numFmtId="0" fontId="0" fillId="0" borderId="20" xfId="0" applyBorder="1" applyAlignment="1">
      <alignment vertical="center" wrapText="1"/>
    </xf>
    <xf numFmtId="0" fontId="0" fillId="0" borderId="0" xfId="0" applyNumberFormat="1"/>
    <xf numFmtId="0" fontId="0" fillId="0" borderId="8" xfId="0" applyFont="1" applyBorder="1" applyAlignment="1">
      <alignment vertical="center" wrapText="1"/>
    </xf>
    <xf numFmtId="164" fontId="0" fillId="0" borderId="8" xfId="0" applyNumberFormat="1" applyFont="1" applyBorder="1" applyAlignment="1">
      <alignment vertical="center" wrapText="1"/>
    </xf>
    <xf numFmtId="0" fontId="1" fillId="0" borderId="8" xfId="0" applyFont="1" applyBorder="1" applyAlignment="1">
      <alignment vertical="center" wrapText="1"/>
    </xf>
    <xf numFmtId="14" fontId="1" fillId="0" borderId="0" xfId="0" applyNumberFormat="1" applyFont="1" applyAlignment="1">
      <alignment vertical="center"/>
    </xf>
    <xf numFmtId="0" fontId="1" fillId="0" borderId="0" xfId="0" applyFont="1" applyAlignment="1">
      <alignment vertical="center"/>
    </xf>
    <xf numFmtId="0" fontId="1" fillId="6" borderId="27" xfId="0" applyFont="1" applyFill="1" applyBorder="1" applyAlignment="1">
      <alignment vertical="center" wrapText="1"/>
    </xf>
    <xf numFmtId="167" fontId="1" fillId="0" borderId="0" xfId="0" applyNumberFormat="1" applyFont="1" applyAlignment="1">
      <alignment vertical="center"/>
    </xf>
    <xf numFmtId="0" fontId="1" fillId="0" borderId="20" xfId="0" applyFont="1" applyBorder="1" applyAlignment="1">
      <alignment vertical="center" wrapText="1"/>
    </xf>
    <xf numFmtId="0" fontId="1" fillId="6" borderId="10" xfId="0" applyFont="1" applyFill="1" applyBorder="1" applyAlignment="1">
      <alignment vertical="center" wrapText="1"/>
    </xf>
    <xf numFmtId="0" fontId="1" fillId="6" borderId="8" xfId="0" applyFont="1" applyFill="1" applyBorder="1" applyAlignment="1">
      <alignment vertical="center" wrapText="1"/>
    </xf>
  </cellXfs>
  <cellStyles count="6">
    <cellStyle name="Currency 2" xfId="2" xr:uid="{74A003AA-E6F5-4241-A5C1-D5E07F6568AD}"/>
    <cellStyle name="Hyperlink" xfId="5" builtinId="8"/>
    <cellStyle name="Normal" xfId="0" builtinId="0"/>
    <cellStyle name="Normal 2" xfId="3" xr:uid="{A3E7144E-15A9-4570-B22A-FAEFF52E20EF}"/>
    <cellStyle name="Normal 3" xfId="4" xr:uid="{A5724B1A-CD9B-47A1-BC07-F3116D3F126C}"/>
    <cellStyle name="Normal 4" xfId="1" xr:uid="{C35C6F2C-B769-4ED1-9A55-8E75E060097D}"/>
  </cellStyles>
  <dxfs count="17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0"/>
        <color theme="0" tint="-0.499984740745262"/>
        <name val="Arial"/>
        <family val="2"/>
        <scheme val="none"/>
      </font>
      <alignment horizontal="general" vertical="bottom" textRotation="0" wrapText="1" indent="0" justifyLastLine="0" shrinkToFit="0" readingOrder="0"/>
      <border diagonalUp="0" diagonalDown="0">
        <left style="hair">
          <color indexed="64"/>
        </left>
        <right style="hair">
          <color indexed="64"/>
        </right>
        <top/>
        <bottom/>
        <vertical/>
        <horizontal/>
      </border>
    </dxf>
    <dxf>
      <font>
        <b val="0"/>
        <i val="0"/>
        <strike val="0"/>
        <condense val="0"/>
        <extend val="0"/>
        <outline val="0"/>
        <shadow val="0"/>
        <u val="none"/>
        <vertAlign val="baseline"/>
        <sz val="10"/>
        <color theme="0" tint="-0.499984740745262"/>
        <name val="Arial"/>
        <family val="2"/>
        <scheme val="none"/>
      </font>
      <alignment horizontal="general" vertical="bottom" textRotation="0" wrapText="1" indent="0" justifyLastLine="0" shrinkToFit="0" readingOrder="0"/>
      <border diagonalUp="0" diagonalDown="0">
        <left style="hair">
          <color indexed="64"/>
        </left>
        <right style="hair">
          <color indexed="64"/>
        </right>
        <top/>
        <bottom/>
        <vertical/>
        <horizontal/>
      </border>
    </dxf>
    <dxf>
      <font>
        <b val="0"/>
        <i val="0"/>
        <strike val="0"/>
        <condense val="0"/>
        <extend val="0"/>
        <outline val="0"/>
        <shadow val="0"/>
        <u val="none"/>
        <vertAlign val="baseline"/>
        <sz val="10"/>
        <color theme="0" tint="-0.499984740745262"/>
        <name val="Arial"/>
        <family val="2"/>
        <scheme val="none"/>
      </font>
      <alignment horizontal="general" vertical="bottom" textRotation="0" wrapText="1" indent="0" justifyLastLine="0" shrinkToFit="0" readingOrder="0"/>
      <border diagonalUp="0" diagonalDown="0">
        <left style="hair">
          <color indexed="64"/>
        </left>
        <right style="hair">
          <color indexed="64"/>
        </right>
        <top/>
        <bottom/>
        <vertical/>
        <horizontal/>
      </border>
    </dxf>
    <dxf>
      <font>
        <b val="0"/>
        <i val="0"/>
        <strike val="0"/>
        <condense val="0"/>
        <extend val="0"/>
        <outline val="0"/>
        <shadow val="0"/>
        <u val="none"/>
        <vertAlign val="baseline"/>
        <sz val="10"/>
        <color theme="0" tint="-0.499984740745262"/>
        <name val="Arial"/>
        <family val="2"/>
        <scheme val="none"/>
      </font>
      <alignment horizontal="general" vertical="bottom" textRotation="0" wrapText="1" indent="0" justifyLastLine="0" shrinkToFit="0" readingOrder="0"/>
      <border diagonalUp="0" diagonalDown="0">
        <left style="hair">
          <color indexed="64"/>
        </left>
        <right style="hair">
          <color indexed="64"/>
        </right>
        <top/>
        <bottom/>
        <vertical/>
        <horizontal/>
      </border>
    </dxf>
    <dxf>
      <font>
        <b val="0"/>
        <i val="0"/>
        <strike val="0"/>
        <condense val="0"/>
        <extend val="0"/>
        <outline val="0"/>
        <shadow val="0"/>
        <u val="none"/>
        <vertAlign val="baseline"/>
        <sz val="10"/>
        <color theme="0" tint="-0.499984740745262"/>
        <name val="Arial"/>
        <family val="2"/>
        <scheme val="none"/>
      </font>
      <alignment horizontal="general" vertical="bottom" textRotation="0" wrapText="1" indent="0" justifyLastLine="0" shrinkToFit="0" readingOrder="0"/>
      <border diagonalUp="0" diagonalDown="0">
        <left style="hair">
          <color indexed="64"/>
        </left>
        <right style="hair">
          <color indexed="64"/>
        </right>
        <top/>
        <bottom/>
        <vertical/>
        <horizontal/>
      </border>
    </dxf>
    <dxf>
      <font>
        <b val="0"/>
        <i val="0"/>
        <strike val="0"/>
        <condense val="0"/>
        <extend val="0"/>
        <outline val="0"/>
        <shadow val="0"/>
        <u val="none"/>
        <vertAlign val="baseline"/>
        <sz val="10"/>
        <color theme="0" tint="-0.499984740745262"/>
        <name val="Arial"/>
        <family val="2"/>
        <scheme val="none"/>
      </font>
      <alignment horizontal="general" vertical="bottom" textRotation="0" wrapText="1" indent="0" justifyLastLine="0" shrinkToFit="0" readingOrder="0"/>
      <border diagonalUp="0" diagonalDown="0">
        <left style="hair">
          <color indexed="64"/>
        </left>
        <right style="hair">
          <color indexed="64"/>
        </right>
        <top/>
        <bottom/>
        <vertical/>
        <horizontal/>
      </border>
    </dxf>
    <dxf>
      <font>
        <b val="0"/>
        <i val="0"/>
        <strike val="0"/>
        <condense val="0"/>
        <extend val="0"/>
        <outline val="0"/>
        <shadow val="0"/>
        <u val="none"/>
        <vertAlign val="baseline"/>
        <sz val="11"/>
        <color theme="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rgb="FFFFFFFF"/>
        <name val="Arial"/>
        <family val="2"/>
        <scheme val="none"/>
      </font>
      <fill>
        <patternFill patternType="solid">
          <fgColor rgb="FF000000"/>
          <bgColor rgb="FFF87E7D"/>
        </patternFill>
      </fill>
      <alignment horizontal="general" vertical="center" textRotation="0" wrapText="0" indent="0" justifyLastLine="0" shrinkToFit="0" readingOrder="0"/>
    </dxf>
    <dxf>
      <font>
        <color theme="0" tint="-0.499984740745262"/>
      </font>
    </dxf>
    <dxf>
      <font>
        <color auto="1"/>
      </font>
      <fill>
        <patternFill>
          <bgColor theme="9" tint="0.79998168889431442"/>
        </patternFill>
      </fill>
    </dxf>
    <dxf>
      <font>
        <color rgb="FF9C0006"/>
      </font>
      <fill>
        <patternFill>
          <bgColor rgb="FFFFC7CE"/>
        </patternFill>
      </fill>
    </dxf>
    <dxf>
      <font>
        <color auto="1"/>
      </font>
      <fill>
        <patternFill>
          <bgColor theme="7" tint="0.79998168889431442"/>
        </patternFill>
      </fill>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0" tint="-0.499984740745262"/>
      </font>
    </dxf>
    <dxf>
      <font>
        <color theme="0" tint="-0.499984740745262"/>
      </font>
    </dxf>
    <dxf>
      <font>
        <b val="0"/>
        <i val="0"/>
        <strike val="0"/>
        <condense val="0"/>
        <extend val="0"/>
        <outline val="0"/>
        <shadow val="0"/>
        <u val="none"/>
        <vertAlign val="baseline"/>
        <sz val="11"/>
        <color theme="1" tint="0.499984740745262"/>
        <name val="Calibri"/>
        <scheme val="minor"/>
      </font>
      <numFmt numFmtId="0" formatCode="General"/>
      <alignment vertical="center"/>
    </dxf>
    <dxf>
      <font>
        <b val="0"/>
        <i val="0"/>
        <strike val="0"/>
        <condense val="0"/>
        <extend val="0"/>
        <outline val="0"/>
        <shadow val="0"/>
        <u val="none"/>
        <vertAlign val="baseline"/>
        <sz val="11"/>
        <color theme="1" tint="0.499984740745262"/>
        <name val="Calibri"/>
        <scheme val="minor"/>
      </font>
      <alignment vertical="center"/>
    </dxf>
    <dxf>
      <font>
        <b val="0"/>
        <i val="0"/>
        <strike val="0"/>
        <condense val="0"/>
        <extend val="0"/>
        <outline val="0"/>
        <shadow val="0"/>
        <u val="none"/>
        <vertAlign val="baseline"/>
        <sz val="11"/>
        <color theme="1" tint="0.499984740745262"/>
        <name val="Calibri"/>
        <scheme val="minor"/>
      </font>
      <numFmt numFmtId="0" formatCode="General"/>
      <alignment vertical="center"/>
    </dxf>
    <dxf>
      <font>
        <b val="0"/>
        <i val="0"/>
        <strike val="0"/>
        <condense val="0"/>
        <extend val="0"/>
        <outline val="0"/>
        <shadow val="0"/>
        <u val="none"/>
        <vertAlign val="baseline"/>
        <sz val="11"/>
        <color theme="1" tint="0.499984740745262"/>
        <name val="Calibri"/>
        <scheme val="minor"/>
      </font>
      <numFmt numFmtId="0" formatCode="General"/>
      <alignment vertical="center"/>
    </dxf>
    <dxf>
      <font>
        <b val="0"/>
        <i val="0"/>
        <strike val="0"/>
        <condense val="0"/>
        <extend val="0"/>
        <outline val="0"/>
        <shadow val="0"/>
        <u val="none"/>
        <vertAlign val="baseline"/>
        <sz val="11"/>
        <color theme="1" tint="0.499984740745262"/>
        <name val="Calibri"/>
        <scheme val="minor"/>
      </font>
      <alignment vertical="center"/>
    </dxf>
    <dxf>
      <font>
        <b val="0"/>
        <i val="0"/>
        <strike val="0"/>
        <condense val="0"/>
        <extend val="0"/>
        <outline val="0"/>
        <shadow val="0"/>
        <u val="none"/>
        <vertAlign val="baseline"/>
        <sz val="11"/>
        <color theme="1" tint="0.499984740745262"/>
        <name val="Calibri"/>
        <scheme val="minor"/>
      </font>
      <alignment vertical="center"/>
    </dxf>
    <dxf>
      <font>
        <b val="0"/>
        <i val="0"/>
        <strike val="0"/>
        <condense val="0"/>
        <extend val="0"/>
        <outline val="0"/>
        <shadow val="0"/>
        <u val="none"/>
        <vertAlign val="baseline"/>
        <sz val="11"/>
        <color theme="1" tint="0.499984740745262"/>
        <name val="Calibri"/>
        <scheme val="minor"/>
      </font>
      <alignment vertical="center"/>
    </dxf>
    <dxf>
      <font>
        <b val="0"/>
        <i val="0"/>
        <strike val="0"/>
        <condense val="0"/>
        <extend val="0"/>
        <outline val="0"/>
        <shadow val="0"/>
        <u val="none"/>
        <vertAlign val="baseline"/>
        <sz val="11"/>
        <color theme="1" tint="0.499984740745262"/>
        <name val="Calibri"/>
        <scheme val="minor"/>
      </font>
      <alignment vertical="center"/>
    </dxf>
    <dxf>
      <font>
        <name val="Calibri"/>
        <scheme val="minor"/>
      </font>
      <alignment vertical="center"/>
    </dxf>
    <dxf>
      <font>
        <b val="0"/>
        <i val="0"/>
        <strike val="0"/>
        <condense val="0"/>
        <extend val="0"/>
        <outline val="0"/>
        <shadow val="0"/>
        <u val="none"/>
        <vertAlign val="baseline"/>
        <sz val="11"/>
        <color theme="1"/>
        <name val="Calibri"/>
        <scheme val="minor"/>
      </font>
      <alignment vertical="center"/>
    </dxf>
    <dxf>
      <font>
        <name val="Calibri"/>
        <scheme val="minor"/>
      </font>
      <numFmt numFmtId="167" formatCode="dd/mm/yyyy"/>
      <alignment vertical="center"/>
    </dxf>
    <dxf>
      <font>
        <name val="Calibri"/>
        <scheme val="minor"/>
      </font>
      <numFmt numFmtId="167" formatCode="dd/mm/yyyy"/>
      <alignment vertical="center"/>
    </dxf>
    <dxf>
      <font>
        <b val="0"/>
        <i val="0"/>
        <strike val="0"/>
        <condense val="0"/>
        <extend val="0"/>
        <outline val="0"/>
        <shadow val="0"/>
        <u val="none"/>
        <vertAlign val="baseline"/>
        <sz val="10"/>
        <color rgb="FF000000"/>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scheme val="minor"/>
      </font>
      <numFmt numFmtId="167" formatCode="dd/mm/yyyy"/>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dxf>
    <dxf>
      <font>
        <name val="Calibri"/>
        <scheme val="minor"/>
      </font>
      <alignment vertical="center"/>
    </dxf>
    <dxf>
      <font>
        <name val="Calibri"/>
        <scheme val="minor"/>
      </font>
      <alignment vertical="center"/>
    </dxf>
    <dxf>
      <font>
        <name val="Calibri"/>
        <scheme val="minor"/>
      </font>
      <alignment vertical="center"/>
    </dxf>
    <dxf>
      <font>
        <name val="Calibri"/>
        <scheme val="minor"/>
      </font>
      <alignment vertical="center"/>
    </dxf>
    <dxf>
      <font>
        <name val="Calibri"/>
        <scheme val="minor"/>
      </font>
      <alignment vertical="center"/>
    </dxf>
    <dxf>
      <font>
        <name val="Calibri"/>
        <scheme val="minor"/>
      </font>
      <alignment vertical="center"/>
    </dxf>
    <dxf>
      <border outline="0">
        <bottom style="thin">
          <color indexed="64"/>
        </bottom>
      </border>
    </dxf>
    <dxf>
      <font>
        <b val="0"/>
        <i val="0"/>
        <strike val="0"/>
        <condense val="0"/>
        <extend val="0"/>
        <outline val="0"/>
        <shadow val="0"/>
        <u val="none"/>
        <vertAlign val="baseline"/>
        <sz val="11"/>
        <color theme="1"/>
        <name val="Calibri"/>
        <scheme val="minor"/>
      </font>
      <alignment vertical="center"/>
    </dxf>
    <dxf>
      <font>
        <b/>
        <i val="0"/>
        <strike val="0"/>
        <condense val="0"/>
        <extend val="0"/>
        <outline val="0"/>
        <shadow val="0"/>
        <u val="none"/>
        <vertAlign val="baseline"/>
        <sz val="12"/>
        <color rgb="FFFFFFFF"/>
        <name val="Calibri"/>
        <scheme val="minor"/>
      </font>
      <fill>
        <patternFill patternType="solid">
          <fgColor rgb="FF000000"/>
          <bgColor rgb="FFF87E7D"/>
        </patternFill>
      </fill>
      <alignment vertical="center"/>
    </dxf>
    <dxf>
      <font>
        <name val="Calibri"/>
        <scheme val="minor"/>
      </font>
      <alignment vertical="bottom"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bottom" textRotation="0" wrapText="1" indent="0" justifyLastLine="0" shrinkToFit="0" readingOrder="0"/>
      <border diagonalUp="0" diagonalDown="0">
        <left/>
        <right style="hair">
          <color indexed="64"/>
        </right>
        <top/>
        <bottom style="hair">
          <color indexed="64"/>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style="hair">
          <color indexed="64"/>
        </right>
        <top/>
        <bottom style="hair">
          <color indexed="64"/>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top/>
        <bottom style="hair">
          <color indexed="64"/>
        </bottom>
      </border>
    </dxf>
    <dxf>
      <font>
        <b val="0"/>
        <i val="0"/>
        <strike val="0"/>
        <condense val="0"/>
        <extend val="0"/>
        <outline val="0"/>
        <shadow val="0"/>
        <u val="none"/>
        <vertAlign val="baseline"/>
        <sz val="10"/>
        <color auto="1"/>
        <name val="Calibri"/>
        <scheme val="minor"/>
      </font>
      <alignment horizontal="general" vertical="bottom" textRotation="0" wrapText="1" indent="0" justifyLastLine="0" shrinkToFit="0" readingOrder="0"/>
      <border diagonalUp="0" diagonalDown="0">
        <left style="hair">
          <color indexed="64"/>
        </left>
        <right/>
        <top/>
        <bottom style="hair">
          <color indexed="64"/>
        </bottom>
      </border>
    </dxf>
    <dxf>
      <font>
        <b val="0"/>
        <i val="0"/>
        <strike val="0"/>
        <condense val="0"/>
        <extend val="0"/>
        <outline val="0"/>
        <shadow val="0"/>
        <u val="none"/>
        <vertAlign val="baseline"/>
        <sz val="10"/>
        <color rgb="FF000000"/>
        <name val="Calibri"/>
        <scheme val="minor"/>
      </font>
      <alignment horizontal="general" vertical="bottom" textRotation="0" wrapText="0" indent="0" justifyLastLine="0" shrinkToFit="0" readingOrder="0"/>
    </dxf>
    <dxf>
      <font>
        <name val="Calibri"/>
        <scheme val="minor"/>
      </font>
      <alignment vertical="bottom" textRotation="0" indent="0" justifyLastLine="0" shrinkToFit="0" readingOrder="0"/>
    </dxf>
    <dxf>
      <font>
        <b/>
        <i val="0"/>
        <strike val="0"/>
        <condense val="0"/>
        <extend val="0"/>
        <outline val="0"/>
        <shadow val="0"/>
        <u val="none"/>
        <vertAlign val="baseline"/>
        <sz val="12"/>
        <color rgb="FFFFFFFF"/>
        <name val="Calibri"/>
        <scheme val="minor"/>
      </font>
      <fill>
        <patternFill patternType="solid">
          <fgColor rgb="FF000000"/>
          <bgColor rgb="FFF87E7D"/>
        </patternFill>
      </fill>
      <alignment horizontal="general" vertical="bottom" textRotation="0" wrapText="1" indent="0" justifyLastLine="0" shrinkToFit="0" readingOrder="0"/>
    </dxf>
    <dxf>
      <font>
        <color auto="1"/>
      </font>
      <fill>
        <patternFill>
          <bgColor rgb="FFFFCC00"/>
        </patternFill>
      </fill>
    </dxf>
    <dxf>
      <font>
        <color theme="0"/>
      </font>
      <fill>
        <patternFill>
          <bgColor rgb="FFFF0000"/>
        </patternFill>
      </fill>
    </dxf>
    <dxf>
      <font>
        <color auto="1"/>
      </font>
      <fill>
        <patternFill>
          <bgColor rgb="FFFFFF00"/>
        </patternFill>
      </fill>
    </dxf>
    <dxf>
      <font>
        <color auto="1"/>
      </font>
      <fill>
        <patternFill>
          <bgColor theme="9" tint="0.79998168889431442"/>
        </patternFill>
      </fill>
    </dxf>
    <dxf>
      <font>
        <color theme="0"/>
      </font>
      <fill>
        <patternFill>
          <bgColor rgb="FFC00000"/>
        </patternFill>
      </fill>
    </dxf>
    <dxf>
      <font>
        <b/>
        <i val="0"/>
        <color theme="0"/>
      </font>
      <fill>
        <patternFill patternType="solid">
          <bgColor rgb="FFC00000"/>
        </patternFill>
      </fill>
    </dxf>
    <dxf>
      <font>
        <b/>
        <i val="0"/>
      </font>
      <fill>
        <patternFill patternType="solid">
          <bgColor rgb="FFFFCC00"/>
        </patternFill>
      </fill>
    </dxf>
    <dxf>
      <font>
        <b/>
        <i val="0"/>
        <color theme="0"/>
      </font>
      <fill>
        <patternFill>
          <bgColor rgb="FFFF0000"/>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theme="0" tint="-0.24994659260841701"/>
      </font>
    </dxf>
    <dxf>
      <font>
        <b val="0"/>
        <i val="0"/>
        <strike val="0"/>
        <condense val="0"/>
        <extend val="0"/>
        <outline val="0"/>
        <shadow val="0"/>
        <u val="none"/>
        <vertAlign val="baseline"/>
        <sz val="11"/>
        <color theme="1" tint="0.249977111117893"/>
        <name val="Calibri"/>
        <family val="2"/>
        <scheme val="minor"/>
      </font>
      <numFmt numFmtId="0" formatCode="General"/>
      <alignment vertical="center"/>
    </dxf>
    <dxf>
      <font>
        <b val="0"/>
        <i val="0"/>
        <strike val="0"/>
        <condense val="0"/>
        <extend val="0"/>
        <outline val="0"/>
        <shadow val="0"/>
        <u val="none"/>
        <vertAlign val="baseline"/>
        <sz val="11"/>
        <color theme="1" tint="0.249977111117893"/>
        <name val="Calibri"/>
        <family val="2"/>
        <scheme val="minor"/>
      </font>
      <alignment vertical="center"/>
    </dxf>
    <dxf>
      <font>
        <b val="0"/>
        <i val="0"/>
        <strike val="0"/>
        <condense val="0"/>
        <extend val="0"/>
        <outline val="0"/>
        <shadow val="0"/>
        <u val="none"/>
        <vertAlign val="baseline"/>
        <sz val="11"/>
        <color theme="1" tint="0.249977111117893"/>
        <name val="Calibri"/>
        <family val="2"/>
        <scheme val="minor"/>
      </font>
      <numFmt numFmtId="0" formatCode="General"/>
      <alignment vertical="center"/>
    </dxf>
    <dxf>
      <font>
        <b val="0"/>
        <i val="0"/>
        <strike val="0"/>
        <condense val="0"/>
        <extend val="0"/>
        <outline val="0"/>
        <shadow val="0"/>
        <u val="none"/>
        <vertAlign val="baseline"/>
        <sz val="11"/>
        <color theme="1" tint="0.249977111117893"/>
        <name val="Calibri"/>
        <family val="2"/>
        <scheme val="minor"/>
      </font>
      <numFmt numFmtId="0" formatCode="General"/>
      <alignment vertical="center"/>
    </dxf>
    <dxf>
      <font>
        <b val="0"/>
        <i val="0"/>
        <strike val="0"/>
        <condense val="0"/>
        <extend val="0"/>
        <outline val="0"/>
        <shadow val="0"/>
        <u val="none"/>
        <vertAlign val="baseline"/>
        <sz val="11"/>
        <color theme="1" tint="0.249977111117893"/>
        <name val="Calibri"/>
        <family val="2"/>
        <scheme val="minor"/>
      </font>
      <alignment vertical="center"/>
    </dxf>
    <dxf>
      <font>
        <b val="0"/>
        <i val="0"/>
        <strike val="0"/>
        <condense val="0"/>
        <extend val="0"/>
        <outline val="0"/>
        <shadow val="0"/>
        <u val="none"/>
        <vertAlign val="baseline"/>
        <sz val="11"/>
        <color theme="1" tint="0.249977111117893"/>
        <name val="Calibri"/>
        <family val="2"/>
        <scheme val="minor"/>
      </font>
      <alignment vertical="center"/>
    </dxf>
    <dxf>
      <font>
        <b val="0"/>
        <i val="0"/>
        <strike val="0"/>
        <condense val="0"/>
        <extend val="0"/>
        <outline val="0"/>
        <shadow val="0"/>
        <u val="none"/>
        <vertAlign val="baseline"/>
        <sz val="11"/>
        <color theme="1" tint="0.249977111117893"/>
        <name val="Calibri"/>
        <family val="2"/>
        <scheme val="minor"/>
      </font>
      <alignment vertical="center"/>
    </dxf>
    <dxf>
      <font>
        <b val="0"/>
        <i val="0"/>
        <strike val="0"/>
        <condense val="0"/>
        <extend val="0"/>
        <outline val="0"/>
        <shadow val="0"/>
        <u val="none"/>
        <vertAlign val="baseline"/>
        <sz val="11"/>
        <color theme="1" tint="0.249977111117893"/>
        <name val="Calibri"/>
        <family val="2"/>
        <scheme val="minor"/>
      </font>
      <alignment vertical="center"/>
    </dxf>
    <dxf>
      <font>
        <name val="Calibri"/>
        <scheme val="minor"/>
      </font>
      <alignment vertical="center"/>
    </dxf>
    <dxf>
      <font>
        <b val="0"/>
        <i val="0"/>
        <strike val="0"/>
        <condense val="0"/>
        <extend val="0"/>
        <outline val="0"/>
        <shadow val="0"/>
        <u val="none"/>
        <vertAlign val="baseline"/>
        <sz val="11"/>
        <color theme="1"/>
        <name val="Calibri"/>
        <scheme val="minor"/>
      </font>
      <alignment vertical="center"/>
    </dxf>
    <dxf>
      <font>
        <name val="Calibri"/>
        <scheme val="minor"/>
      </font>
      <numFmt numFmtId="167" formatCode="dd/mm/yyyy"/>
      <alignment vertical="center"/>
    </dxf>
    <dxf>
      <font>
        <name val="Calibri"/>
        <scheme val="minor"/>
      </font>
      <numFmt numFmtId="167" formatCode="dd/mm/yyyy"/>
      <alignment vertical="center"/>
    </dxf>
    <dxf>
      <font>
        <b val="0"/>
        <i val="0"/>
        <strike val="0"/>
        <condense val="0"/>
        <extend val="0"/>
        <outline val="0"/>
        <shadow val="0"/>
        <u val="none"/>
        <vertAlign val="baseline"/>
        <sz val="10"/>
        <color rgb="FF000000"/>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scheme val="minor"/>
      </font>
      <numFmt numFmtId="167" formatCode="dd/mm/yyyy"/>
      <alignment horizontal="general" vertical="center" textRotation="0" wrapText="1" indent="0" justifyLastLine="0" shrinkToFit="0" readingOrder="0"/>
    </dxf>
    <dxf>
      <font>
        <b val="0"/>
        <i val="0"/>
        <strike val="0"/>
        <condense val="0"/>
        <extend val="0"/>
        <outline val="0"/>
        <shadow val="0"/>
        <u val="none"/>
        <vertAlign val="baseline"/>
        <sz val="10"/>
        <color rgb="FF000000"/>
        <name val="Calibri"/>
        <scheme val="minor"/>
      </font>
      <alignment horizontal="center" vertical="center" textRotation="0" wrapText="1" indent="0" justifyLastLine="0" shrinkToFit="0" readingOrder="0"/>
    </dxf>
    <dxf>
      <font>
        <name val="Calibri"/>
        <scheme val="minor"/>
      </font>
      <alignment vertical="center"/>
    </dxf>
    <dxf>
      <font>
        <name val="Calibri"/>
        <scheme val="minor"/>
      </font>
      <alignment vertical="center"/>
    </dxf>
    <dxf>
      <font>
        <name val="Calibri"/>
        <scheme val="minor"/>
      </font>
      <alignment vertical="center"/>
    </dxf>
    <dxf>
      <font>
        <name val="Calibri"/>
        <scheme val="minor"/>
      </font>
      <alignment vertical="center"/>
    </dxf>
    <dxf>
      <font>
        <name val="Calibri"/>
        <scheme val="minor"/>
      </font>
      <alignment vertical="center"/>
    </dxf>
    <dxf>
      <font>
        <name val="Calibri"/>
        <scheme val="minor"/>
      </font>
      <alignment vertical="center"/>
    </dxf>
    <dxf>
      <border outline="0">
        <bottom style="thin">
          <color indexed="64"/>
        </bottom>
      </border>
    </dxf>
    <dxf>
      <font>
        <b val="0"/>
        <i val="0"/>
        <strike val="0"/>
        <condense val="0"/>
        <extend val="0"/>
        <outline val="0"/>
        <shadow val="0"/>
        <u val="none"/>
        <vertAlign val="baseline"/>
        <sz val="11"/>
        <color theme="1"/>
        <name val="Calibri"/>
        <scheme val="minor"/>
      </font>
      <alignment vertical="center"/>
    </dxf>
    <dxf>
      <font>
        <b/>
        <i val="0"/>
        <strike val="0"/>
        <condense val="0"/>
        <extend val="0"/>
        <outline val="0"/>
        <shadow val="0"/>
        <u val="none"/>
        <vertAlign val="baseline"/>
        <sz val="12"/>
        <color rgb="FFFFFFFF"/>
        <name val="Calibri"/>
        <scheme val="minor"/>
      </font>
      <fill>
        <patternFill patternType="solid">
          <fgColor rgb="FF000000"/>
          <bgColor rgb="FFF87E7D"/>
        </patternFill>
      </fill>
      <alignment horizontal="center" vertical="center"/>
    </dxf>
    <dxf>
      <font>
        <name val="Calibri"/>
        <scheme val="minor"/>
      </font>
      <alignment vertical="bottom" textRotation="0" indent="0" justifyLastLine="0" shrinkToFit="0" readingOrder="0"/>
    </dxf>
    <dxf>
      <font>
        <b val="0"/>
        <i val="0"/>
        <strike val="0"/>
        <condense val="0"/>
        <extend val="0"/>
        <outline val="0"/>
        <shadow val="0"/>
        <u val="none"/>
        <vertAlign val="baseline"/>
        <sz val="10"/>
        <color auto="1"/>
        <name val="Calibri"/>
        <scheme val="minor"/>
      </font>
      <alignment horizontal="general" vertical="bottom" textRotation="0" wrapText="1" indent="0" justifyLastLine="0" shrinkToFit="0" readingOrder="0"/>
      <border diagonalUp="0" diagonalDown="0">
        <left/>
        <right style="hair">
          <color indexed="64"/>
        </right>
        <top/>
        <bottom style="hair">
          <color indexed="64"/>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style="hair">
          <color indexed="64"/>
        </right>
        <top/>
        <bottom style="hair">
          <color indexed="64"/>
        </bottom>
      </border>
    </dxf>
    <dxf>
      <font>
        <b val="0"/>
        <i val="0"/>
        <strike val="0"/>
        <condense val="0"/>
        <extend val="0"/>
        <outline val="0"/>
        <shadow val="0"/>
        <u val="none"/>
        <vertAlign val="baseline"/>
        <sz val="10"/>
        <color auto="1"/>
        <name val="Calibri"/>
        <scheme val="minor"/>
      </font>
      <alignment horizontal="center" vertical="center" textRotation="0" wrapText="0" indent="0" justifyLastLine="0" shrinkToFit="0" readingOrder="0"/>
      <border diagonalUp="0" diagonalDown="0">
        <left/>
        <right/>
        <top/>
        <bottom style="hair">
          <color indexed="64"/>
        </bottom>
      </border>
    </dxf>
    <dxf>
      <font>
        <b val="0"/>
        <i val="0"/>
        <strike val="0"/>
        <condense val="0"/>
        <extend val="0"/>
        <outline val="0"/>
        <shadow val="0"/>
        <u val="none"/>
        <vertAlign val="baseline"/>
        <sz val="10"/>
        <color auto="1"/>
        <name val="Calibri"/>
        <scheme val="minor"/>
      </font>
      <alignment horizontal="general" vertical="bottom" textRotation="0" wrapText="1" indent="0" justifyLastLine="0" shrinkToFit="0" readingOrder="0"/>
      <border diagonalUp="0" diagonalDown="0">
        <left style="hair">
          <color indexed="64"/>
        </left>
        <right/>
        <top/>
        <bottom style="hair">
          <color indexed="64"/>
        </bottom>
      </border>
    </dxf>
    <dxf>
      <font>
        <b val="0"/>
        <i val="0"/>
        <strike val="0"/>
        <condense val="0"/>
        <extend val="0"/>
        <outline val="0"/>
        <shadow val="0"/>
        <u val="none"/>
        <vertAlign val="baseline"/>
        <sz val="10"/>
        <color rgb="FF000000"/>
        <name val="Calibri"/>
        <scheme val="minor"/>
      </font>
      <alignment horizontal="general" vertical="bottom" textRotation="0" wrapText="0" indent="0" justifyLastLine="0" shrinkToFit="0" readingOrder="0"/>
    </dxf>
    <dxf>
      <font>
        <name val="Calibri"/>
        <scheme val="minor"/>
      </font>
      <alignment vertical="bottom" textRotation="0" indent="0" justifyLastLine="0" shrinkToFit="0" readingOrder="0"/>
    </dxf>
    <dxf>
      <font>
        <b/>
        <i val="0"/>
        <strike val="0"/>
        <condense val="0"/>
        <extend val="0"/>
        <outline val="0"/>
        <shadow val="0"/>
        <u val="none"/>
        <vertAlign val="baseline"/>
        <sz val="12"/>
        <color rgb="FFFFFFFF"/>
        <name val="Calibri"/>
        <scheme val="minor"/>
      </font>
      <fill>
        <patternFill patternType="solid">
          <fgColor rgb="FF000000"/>
          <bgColor rgb="FFF87E7D"/>
        </patternFill>
      </fill>
      <alignment horizontal="general" vertical="bottom" textRotation="0" wrapText="1" indent="0" justifyLastLine="0" shrinkToFit="0" readingOrder="0"/>
    </dxf>
    <dxf>
      <font>
        <color auto="1"/>
      </font>
      <fill>
        <patternFill>
          <bgColor theme="9" tint="0.79998168889431442"/>
        </patternFill>
      </fill>
    </dxf>
    <dxf>
      <font>
        <color rgb="FF9C0006"/>
      </font>
      <fill>
        <patternFill>
          <bgColor rgb="FFFFC7CE"/>
        </patternFill>
      </fill>
    </dxf>
    <dxf>
      <font>
        <color auto="1"/>
      </font>
      <fill>
        <patternFill>
          <bgColor theme="7" tint="0.79998168889431442"/>
        </patternFill>
      </fill>
    </dxf>
    <dxf>
      <font>
        <b/>
        <i val="0"/>
        <color theme="0"/>
      </font>
      <fill>
        <patternFill>
          <bgColor rgb="FFFF0000"/>
        </patternFill>
      </fill>
    </dxf>
    <dxf>
      <fill>
        <patternFill patternType="solid">
          <fgColor theme="6" tint="0.59999389629810485"/>
          <bgColor theme="6" tint="0.59999389629810485"/>
        </patternFill>
      </fill>
    </dxf>
    <dxf>
      <fill>
        <patternFill patternType="none">
          <fgColor auto="1"/>
          <bgColor auto="1"/>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left style="medium">
          <color auto="1"/>
        </left>
        <right style="medium">
          <color auto="1"/>
        </right>
        <top style="medium">
          <color auto="1"/>
        </top>
        <bottom style="medium">
          <color auto="1"/>
        </bottom>
      </border>
    </dxf>
    <dxf>
      <font>
        <b/>
        <color theme="0"/>
      </font>
      <fill>
        <patternFill patternType="solid">
          <fgColor theme="6"/>
          <bgColor theme="8" tint="0.79998168889431442"/>
        </patternFill>
      </fill>
      <border>
        <left style="medium">
          <color theme="1"/>
        </left>
        <right style="medium">
          <color theme="1"/>
        </right>
        <top style="medium">
          <color theme="1"/>
        </top>
        <bottom style="medium">
          <color theme="1"/>
        </bottom>
      </border>
    </dxf>
    <dxf>
      <font>
        <color theme="1"/>
      </font>
      <fill>
        <patternFill patternType="solid">
          <fgColor theme="6" tint="0.79998168889431442"/>
          <bgColor theme="6" tint="0.79998168889431442"/>
        </patternFill>
      </fill>
      <border>
        <left style="medium">
          <color theme="1"/>
        </left>
        <right style="medium">
          <color theme="1"/>
        </right>
        <top style="medium">
          <color theme="1"/>
        </top>
        <bottom style="medium">
          <color theme="1"/>
        </bottom>
        <vertical/>
        <horizontal/>
      </border>
    </dxf>
    <dxf>
      <border>
        <left style="thin">
          <color theme="6"/>
        </left>
      </border>
    </dxf>
    <dxf>
      <border>
        <left style="thin">
          <color theme="6"/>
        </left>
      </border>
    </dxf>
    <dxf>
      <border>
        <top style="thin">
          <color theme="6"/>
        </top>
      </border>
    </dxf>
    <dxf>
      <border>
        <top style="thin">
          <color theme="6"/>
        </top>
      </border>
    </dxf>
    <dxf>
      <font>
        <b/>
        <color theme="1"/>
      </font>
    </dxf>
    <dxf>
      <font>
        <b/>
        <color theme="1"/>
      </font>
    </dxf>
    <dxf>
      <font>
        <b/>
        <color theme="1"/>
      </font>
      <border>
        <top style="double">
          <color theme="6"/>
        </top>
      </border>
    </dxf>
    <dxf>
      <font>
        <b val="0"/>
        <i val="0"/>
        <color theme="0"/>
      </font>
      <fill>
        <patternFill patternType="solid">
          <fgColor theme="6"/>
          <bgColor theme="6"/>
        </patternFill>
      </fill>
      <border>
        <left style="thin">
          <color auto="1"/>
        </left>
        <right style="thin">
          <color auto="1"/>
        </right>
        <top style="thin">
          <color auto="1"/>
        </top>
        <bottom style="thin">
          <color auto="1"/>
        </bottom>
      </border>
    </dxf>
    <dxf>
      <font>
        <color theme="1"/>
      </font>
      <border diagonalUp="0" diagonalDown="0">
        <left style="thin">
          <color auto="1"/>
        </left>
        <right style="thin">
          <color auto="1"/>
        </right>
        <top style="thin">
          <color auto="1"/>
        </top>
        <bottom style="thin">
          <color auto="1"/>
        </bottom>
        <vertical/>
        <horizontal/>
      </border>
    </dxf>
    <dxf>
      <border>
        <top style="thin">
          <color theme="4" tint="0.79998168889431442"/>
        </top>
        <bottom style="thin">
          <color theme="4" tint="0.79998168889431442"/>
        </bottom>
      </border>
    </dxf>
    <dxf>
      <border>
        <top style="thin">
          <color theme="4" tint="0.79998168889431442"/>
        </top>
        <bottom style="thin">
          <color theme="4" tint="0.79998168889431442"/>
        </bottom>
      </border>
    </dxf>
    <dxf>
      <fill>
        <patternFill>
          <bgColor rgb="FFECF0F8"/>
        </patternFill>
      </fill>
      <border>
        <bottom style="thin">
          <color rgb="FF8EA9DB"/>
        </bottom>
        <horizontal/>
      </border>
    </dxf>
    <dxf>
      <fill>
        <patternFill patternType="solid">
          <fgColor theme="4" tint="0.79998168889431442"/>
          <bgColor theme="4" tint="0.79998168889431442"/>
        </patternFill>
      </fill>
      <border diagonalUp="1">
        <top style="thin">
          <color rgb="FF8EA9DB"/>
        </top>
        <bottom style="thin">
          <color rgb="FF8EA9DB"/>
        </bottom>
        <diagonal style="thin">
          <color rgb="FF8EA9DB"/>
        </diagonal>
        <horizontal/>
      </border>
    </dxf>
    <dxf>
      <font>
        <color theme="0"/>
      </font>
      <fill>
        <patternFill patternType="solid">
          <fgColor theme="4" tint="0.39997558519241921"/>
          <bgColor theme="4" tint="0.39997558519241921"/>
        </patternFill>
      </fill>
      <border>
        <bottom style="thin">
          <color rgb="FF8EA9DB"/>
        </bottom>
        <horizontal/>
      </border>
    </dxf>
    <dxf>
      <border>
        <bottom style="thin">
          <color theme="4" tint="0.59999389629810485"/>
        </bottom>
      </border>
    </dxf>
    <dxf>
      <font>
        <b/>
        <color theme="1"/>
      </font>
      <fill>
        <patternFill patternType="solid">
          <fgColor theme="0" tint="-0.14999847407452621"/>
          <bgColor theme="0" tint="-0.14999847407452621"/>
        </patternFill>
      </fill>
    </dxf>
    <dxf>
      <font>
        <b/>
        <color theme="0"/>
      </font>
      <fill>
        <patternFill patternType="solid">
          <fgColor theme="4" tint="0.39994506668294322"/>
          <bgColor rgb="FF8EA9DB"/>
        </patternFill>
      </fill>
    </dxf>
    <dxf>
      <font>
        <b/>
        <color theme="0"/>
      </font>
    </dxf>
    <dxf>
      <border>
        <top style="thin">
          <color theme="4" tint="-0.249977111117893"/>
        </top>
        <bottom style="thin">
          <color theme="4" tint="-0.249977111117893"/>
        </bottom>
        <horizontal style="thin">
          <color theme="4" tint="-0.249977111117893"/>
        </horizontal>
      </border>
    </dxf>
    <dxf>
      <font>
        <b/>
        <color theme="1"/>
      </font>
      <border>
        <top style="double">
          <color theme="4" tint="-0.249977111117893"/>
        </top>
      </border>
    </dxf>
    <dxf>
      <font>
        <color theme="0"/>
      </font>
      <fill>
        <patternFill patternType="solid">
          <fgColor theme="4" tint="-0.249977111117893"/>
          <bgColor theme="4" tint="-0.249977111117893"/>
        </patternFill>
      </fill>
      <border>
        <horizontal style="thin">
          <color theme="4" tint="-0.249977111117893"/>
        </horizontal>
      </border>
    </dxf>
    <dxf>
      <font>
        <color theme="1"/>
      </font>
      <border>
        <left style="thin">
          <color rgb="FF8EA9DB"/>
        </left>
        <right style="thin">
          <color rgb="FF8EA9DB"/>
        </right>
        <top style="thin">
          <color rgb="FF8EA9DB"/>
        </top>
        <bottom style="thin">
          <color rgb="FF8EA9DB"/>
        </bottom>
        <vertical style="thin">
          <color rgb="FF8EA9DB"/>
        </vertical>
        <horizontal style="thin">
          <color rgb="FF8EA9DB"/>
        </horizontal>
      </border>
    </dxf>
  </dxfs>
  <tableStyles count="3" defaultTableStyle="TableStyleMedium2" defaultPivotStyle="PivotStyleLight16">
    <tableStyle name="PivotStyleMedium priorities" table="0" count="13" xr9:uid="{531213F5-F2D2-42D5-AA98-D0741CC96250}">
      <tableStyleElement type="wholeTable" dxfId="169"/>
      <tableStyleElement type="headerRow" dxfId="168"/>
      <tableStyleElement type="totalRow" dxfId="167"/>
      <tableStyleElement type="firstRowStripe" dxfId="166"/>
      <tableStyleElement type="firstHeaderCell" dxfId="165"/>
      <tableStyleElement type="firstSubtotalRow" dxfId="164"/>
      <tableStyleElement type="secondSubtotalRow" dxfId="163"/>
      <tableStyleElement type="firstColumnSubheading" dxfId="162"/>
      <tableStyleElement type="firstRowSubheading" dxfId="161"/>
      <tableStyleElement type="secondRowSubheading" dxfId="160"/>
      <tableStyleElement type="thirdRowSubheading" dxfId="159"/>
      <tableStyleElement type="pageFieldLabels" dxfId="158"/>
      <tableStyleElement type="pageFieldValues" dxfId="157"/>
    </tableStyle>
    <tableStyle name="TableStyleLight11 2" pivot="0" count="9" xr9:uid="{94399E9C-C0DA-4EB5-9273-B75338F99C10}">
      <tableStyleElement type="wholeTable" dxfId="156"/>
      <tableStyleElement type="headerRow" dxfId="155"/>
      <tableStyleElement type="totalRow" dxfId="154"/>
      <tableStyleElement type="firstColumn" dxfId="153"/>
      <tableStyleElement type="lastColumn" dxfId="152"/>
      <tableStyleElement type="firstRowStripe" dxfId="151"/>
      <tableStyleElement type="secondRowStripe" dxfId="150"/>
      <tableStyleElement type="firstColumnStripe" dxfId="149"/>
      <tableStyleElement type="secondColumnStripe" dxfId="148"/>
    </tableStyle>
    <tableStyle name="TableStyleMedium11 2" pivot="0" count="7" xr9:uid="{1CD314B5-BBD2-4ACD-9704-1A1E689B0847}">
      <tableStyleElement type="wholeTable" dxfId="147"/>
      <tableStyleElement type="headerRow" dxfId="146"/>
      <tableStyleElement type="totalRow" dxfId="145"/>
      <tableStyleElement type="firstColumn" dxfId="144"/>
      <tableStyleElement type="lastColumn" dxfId="143"/>
      <tableStyleElement type="firstRowStripe" dxfId="142"/>
      <tableStyleElement type="firstColumnStripe" dxfId="141"/>
    </tableStyle>
  </tableStyles>
  <colors>
    <mruColors>
      <color rgb="FFFFFF99"/>
      <color rgb="FFFFD5D5"/>
      <color rgb="FFFF9999"/>
      <color rgb="FFFF0000"/>
      <color rgb="FF00CC66"/>
      <color rgb="FFFF3300"/>
      <color rgb="FF757575"/>
      <color rgb="FFF72AD2"/>
      <color rgb="FFFF7575"/>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VAR/RENOV_VAR%20RPN%20tracker.xlsm" TargetMode="External"/><Relationship Id="rId2" Type="http://schemas.openxmlformats.org/officeDocument/2006/relationships/externalLinkPath" Target="https://unitednations.sharepoint.com/sites/SHP-SOMBP-RPN-SharedSite/Shared%20Documents/General/VAR/RENOV_VAR%20RPN%20tracker.xlsm" TargetMode="External"/><Relationship Id="rId1" Type="http://schemas.openxmlformats.org/officeDocument/2006/relationships/externalLinkPath" Target="/sites/SHP-SOMBP-RPN-SharedSite/Shared%20Documents/General/VAR/RENOV_VAR%20RPN%20track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epBxSoDg02houQcodG9JJv4D0LUgGJDuA82MVMY4oUguZ4Tnog4TISV91Z7EIMT" itemId="01TU4B75DYHENDCHGANVC3NCJJ2DEFFOEG">
      <xxl21:absoluteUrl r:id="rId2"/>
      <xxl21:relativeUrl r:id="rId3"/>
    </xxl21:alternateUrls>
    <sheetNames>
      <sheetName val="Bldg C 12WLOA"/>
      <sheetName val="DASHBOARD"/>
      <sheetName val="RENOV_VAR SUMMARY"/>
      <sheetName val="RENOV_INS_SUMMARY"/>
      <sheetName val="RFI_Daywork"/>
      <sheetName val="NCF_Pmweb"/>
      <sheetName val="RFI_Daywork_OLD"/>
      <sheetName val="Priotities"/>
      <sheetName val="RENOV_VE"/>
      <sheetName val="VAR table"/>
      <sheetName val="Pivot Tables"/>
      <sheetName val="OWNER LIST"/>
      <sheetName val="Setup"/>
      <sheetName val="HOLIDAY"/>
      <sheetName val="NCF"/>
      <sheetName val="X_RFI"/>
      <sheetName val="OWNER_LIST"/>
      <sheetName val="Data_lists"/>
      <sheetName val="Bldg C 12WLOA Precons"/>
    </sheetNames>
    <sheetDataSet>
      <sheetData sheetId="0"/>
      <sheetData sheetId="1"/>
      <sheetData sheetId="2">
        <row r="13">
          <cell r="A13" t="str">
            <v>R-VAR-0001</v>
          </cell>
          <cell r="C13" t="str">
            <v>LANDSCAPE SOLUTION</v>
          </cell>
          <cell r="U13">
            <v>3</v>
          </cell>
          <cell r="AJ13"/>
        </row>
        <row r="14">
          <cell r="A14" t="str">
            <v>R-VAR-0002</v>
          </cell>
          <cell r="C14" t="str">
            <v>ROOM XII</v>
          </cell>
          <cell r="U14">
            <v>3</v>
          </cell>
          <cell r="AJ14"/>
        </row>
        <row r="15">
          <cell r="A15" t="str">
            <v>R-VAR-0003</v>
          </cell>
          <cell r="C15" t="str">
            <v xml:space="preserve">EARLY WORKS REVIEW </v>
          </cell>
          <cell r="U15">
            <v>1</v>
          </cell>
          <cell r="AJ15"/>
        </row>
        <row r="16">
          <cell r="A16" t="str">
            <v>R-VAR-0004</v>
          </cell>
          <cell r="C16" t="str">
            <v xml:space="preserve">SWITCHES </v>
          </cell>
          <cell r="U16" t="str">
            <v/>
          </cell>
          <cell r="AJ16"/>
        </row>
        <row r="17">
          <cell r="A17" t="str">
            <v>R-VAR-0005</v>
          </cell>
          <cell r="C17" t="str">
            <v xml:space="preserve">SAFI STAIRCASE  </v>
          </cell>
          <cell r="U17" t="str">
            <v/>
          </cell>
          <cell r="AJ17"/>
        </row>
        <row r="18">
          <cell r="A18" t="str">
            <v>R-VAR-0006</v>
          </cell>
          <cell r="C18" t="str">
            <v>PANTRIES (PMI 023) (SETS 275+283)</v>
          </cell>
          <cell r="U18" t="str">
            <v>NOT ASSESSED</v>
          </cell>
          <cell r="AJ18"/>
        </row>
        <row r="19">
          <cell r="A19" t="str">
            <v>R-VAR-0007</v>
          </cell>
          <cell r="C19" t="str">
            <v>BLDG S2 - SAFI business Continuity</v>
          </cell>
          <cell r="U19">
            <v>1</v>
          </cell>
          <cell r="AJ19" t="str">
            <v>SHP issued PMI 60 to PTS on 25.04. PO for MPI 60 signed on 10.08. Not linked to SC.
SOMBP sent Step 1 to G&amp;T on 02.01. SOMBP/Sam to check design - final scope on 09.04. G&amp;T draft cost files provided to SOMBP 15/04. G&amp;T has electrical questions on 24.04. SOMBP split scope with VAr 488 on 03.05. G&amp;T costeded on 22.05. SOMBP uploaded on 30.06. SHP reviewed the cost - meeting with SOMBP/G&amp;T/SHP on 05.06. SOMMBP updated scope on 20.06. G&amp;T updated the cost on 08.07. SOMBP commented cost on 10.07. SHP forwarded comments on 12.07. G&amp;T reviewed the cost on 22.07. SOMBP splited the cost design errors vs temp works on 07.08. G&amp;T recosted on 19.08. SOMBP responded per Calre's email from 20.08 on 21.08. SHP/G&amp;T meeting on scope on 22.08. SOMBP uploaded to PMweb on 05.09. SHP sent scope comments to SOMBP on 08.11. SHP/SOMBP meeting on scope on 14.11. SHP provided formal list of changes on 06.12. SOMBP provided partial responce on 23.12.2024. SOMBP provided AECOM comments on 07.01.2025. SHP revised PMI. SOMBP revised on 24.03. G&amp;T recosted on 29.04. SOMBP/G&amp;T meeting on 05.05. G&amp;T recosted on 14.05. SOMBP uploaded on 14.05. SHP to issue. Sent on signature on 16.05.
RPN didn't  issue Step 2.
SHP issued Step 3. RPN sent non official RFI on 03.07. And on PMWeb RFI 1435. SOMBP replied early August. SHP confirmed RFI responce.
INS 516 issued to start doors procurement and will be included in var 007 text.
Awaiting answers from SAW - trafic (meetings ongoing) to revise the scope - done. RPN sent lift platform cost to G&amp;T/SHP on 09.12 - G&amp;T confirmed as reasonable. SOMBP to revise the scope - done on 27.01.2026, descope of elec still to be included and addition of shelves move. SOMBP uploaded on 02.02. SHP issued. RPN issued com proposal on 06.03. G&amp;T/SOMBP to assess. 06.03: RPN issued commercial proposal (Including ETAVIS quotation), G&amp;T to assess (scope to be adjusted).</v>
          </cell>
        </row>
        <row r="20">
          <cell r="A20" t="str">
            <v>R-VAR-0008</v>
          </cell>
          <cell r="C20" t="str">
            <v>TD REVIEW (SUB SET 313)</v>
          </cell>
          <cell r="U20" t="str">
            <v>NOT ASSESSED</v>
          </cell>
          <cell r="AJ20"/>
        </row>
        <row r="21">
          <cell r="A21" t="str">
            <v>R-VAR-0009</v>
          </cell>
          <cell r="C21" t="str">
            <v xml:space="preserve">TEMPORARY ARMORY </v>
          </cell>
          <cell r="U21">
            <v>2</v>
          </cell>
          <cell r="AJ21"/>
        </row>
        <row r="22">
          <cell r="A22" t="str">
            <v>R-VAR-0010</v>
          </cell>
          <cell r="C22" t="str">
            <v xml:space="preserve">ARCHIBUS MAINTENANCE AND SUPPORT </v>
          </cell>
          <cell r="U22" t="str">
            <v>NOT ASSESSED</v>
          </cell>
          <cell r="AJ22"/>
        </row>
        <row r="23">
          <cell r="A23" t="str">
            <v>R-VAR-0011</v>
          </cell>
          <cell r="C23" t="str">
            <v xml:space="preserve">ARTWORK PACKING AND MOVING </v>
          </cell>
          <cell r="U23">
            <v>3</v>
          </cell>
          <cell r="AJ23"/>
        </row>
        <row r="24">
          <cell r="A24" t="str">
            <v>R-VAR-0012</v>
          </cell>
          <cell r="C24" t="str">
            <v>BUSINESS CONTINUITY ACCESSIBILITY DOOR S1</v>
          </cell>
          <cell r="U24">
            <v>3</v>
          </cell>
          <cell r="AJ24"/>
        </row>
        <row r="25">
          <cell r="A25" t="str">
            <v>R-VAR-0013</v>
          </cell>
          <cell r="C25" t="str">
            <v xml:space="preserve">SMOKE TEST BUILDING AC </v>
          </cell>
          <cell r="U25" t="str">
            <v/>
          </cell>
          <cell r="AJ25"/>
        </row>
        <row r="26">
          <cell r="A26" t="str">
            <v>R-VAR-0014</v>
          </cell>
          <cell r="C26" t="str">
            <v>MAXIMUM SPEED SILENCERS</v>
          </cell>
          <cell r="U26" t="str">
            <v>NOT ASSESSED</v>
          </cell>
          <cell r="AJ26"/>
        </row>
        <row r="27">
          <cell r="A27" t="str">
            <v>R-VAR-0015</v>
          </cell>
          <cell r="C27" t="str">
            <v xml:space="preserve"> Rooms III, V, VIII, XIX, PR AV MODIFICATIONS (REVISED)</v>
          </cell>
          <cell r="U27">
            <v>1</v>
          </cell>
          <cell r="AJ27" t="str">
            <v>G&amp;T revised cost per Amendment 7 and Patrick email from 30.10 on 31.10. SHP to issue.</v>
          </cell>
        </row>
        <row r="28">
          <cell r="A28" t="str">
            <v>R-VAR-0016</v>
          </cell>
          <cell r="C28" t="str">
            <v>BUILT-IN FURNITURE BUILDING AC</v>
          </cell>
          <cell r="U28">
            <v>3</v>
          </cell>
          <cell r="AJ28"/>
        </row>
        <row r="29">
          <cell r="A29" t="str">
            <v>R-VAR-0017</v>
          </cell>
          <cell r="C29" t="str">
            <v>SECURITY REVOLVING DOORS AND LOCKDOWN (PMI 026-027)</v>
          </cell>
          <cell r="U29" t="str">
            <v>NOT ASSESSED</v>
          </cell>
          <cell r="AJ29"/>
        </row>
        <row r="30">
          <cell r="A30" t="str">
            <v>R-VAR-0018</v>
          </cell>
          <cell r="C30" t="str">
            <v>CEILING REINFORCEMENT LEVEL 6 BUILDING D</v>
          </cell>
          <cell r="U30">
            <v>3</v>
          </cell>
          <cell r="AJ30"/>
        </row>
        <row r="31">
          <cell r="A31" t="str">
            <v>R-VAR-0019</v>
          </cell>
          <cell r="C31" t="str">
            <v>BUSINESS CONTINUITY FOR MEDICAL SERVICES IN BUILDING S2</v>
          </cell>
          <cell r="U31">
            <v>1</v>
          </cell>
          <cell r="AJ31"/>
        </row>
        <row r="32">
          <cell r="A32" t="str">
            <v>R-VAR-0020</v>
          </cell>
          <cell r="C32" t="str">
            <v>NEW COOLING LOOP BUILDING D</v>
          </cell>
          <cell r="U32">
            <v>3</v>
          </cell>
          <cell r="AJ32"/>
        </row>
        <row r="33">
          <cell r="A33" t="str">
            <v>R-VAR-0021</v>
          </cell>
          <cell r="C33" t="str">
            <v>REARRANGEMENT OF SPACES OF LIBRARY IN BUILDING S1</v>
          </cell>
          <cell r="U33">
            <v>1</v>
          </cell>
          <cell r="AJ33"/>
        </row>
        <row r="34">
          <cell r="A34" t="str">
            <v>R-VAR-0022</v>
          </cell>
          <cell r="C34" t="str">
            <v>REDESIGN OF SPACES IN BUILDING AB LEVEL 5 (PMI 032)</v>
          </cell>
          <cell r="U34">
            <v>1</v>
          </cell>
          <cell r="AJ34"/>
        </row>
        <row r="35">
          <cell r="A35" t="str">
            <v>R-VAR-0023</v>
          </cell>
          <cell r="C35" t="str">
            <v>BUILDING AC - CEILINGS AMENDMENTS (REVISED)</v>
          </cell>
          <cell r="U35">
            <v>1</v>
          </cell>
          <cell r="AJ35"/>
        </row>
        <row r="36">
          <cell r="A36" t="str">
            <v>R-VAR-0024</v>
          </cell>
          <cell r="C36" t="str">
            <v>CAFETERIA REFRIGERATION DE-SCOPE (PMI 024) (REVISED)</v>
          </cell>
          <cell r="U36">
            <v>2</v>
          </cell>
          <cell r="AJ36" t="str">
            <v>determined</v>
          </cell>
        </row>
        <row r="37">
          <cell r="A37" t="str">
            <v>R-VAR-0025</v>
          </cell>
          <cell r="C37" t="str">
            <v>POSTAL SMART LOCKERS (PMI 031) (SSet 344)</v>
          </cell>
          <cell r="U37" t="str">
            <v>NOT ASSESSED</v>
          </cell>
          <cell r="AJ37"/>
        </row>
        <row r="38">
          <cell r="A38" t="str">
            <v>R-VAR-0026</v>
          </cell>
          <cell r="C38" t="str">
            <v>CAFETERIA EXTENSION OMISSION (PMI 033)</v>
          </cell>
          <cell r="U38" t="str">
            <v/>
          </cell>
          <cell r="AJ38" t="str">
            <v>Step 2 under RPN development - share draft with steps next week - Step 2 end of December. 3 opened RFIs (938, 937, 933) and Youssef issue not allowing to close this one. SOM/B+P target to respond to RFIs by 23.01.2023. Youssef issue - reject, please see response email to Patrick and Cedric of 13.01. SHP/SOMBP - Discuss Youssef comments &gt; Youssef comments rejected as per email response to Patrick Fowler. SOMBP to reply on RFIs. G&amp;T to review step2. G&amp;T Step 3 issued to RPN 13/03/2023. RPN to respond. RPN asks technical reply to 2 solutions on facade works. TD: April 23 - RPN to organise separated discussion on Phasing (when works are planned?); SOMBP to check scope of facade and options. Dominic sent email on 13.05 with 2 facade options  - SHP decision - no facade change. RPN is checking if is possible to install the new doors with hardware set requested on the exiting facade -  technical report will be sent . Then to agree cost - G&amp;T to review step2 sent 7.7 
G&amp;T Step 3 issued 02/08. 
Variation to be withdrawn and superseded with VAR 492.
SHP to issue Step 3 withdrawal. Sent on signature on 07.10.</v>
          </cell>
        </row>
        <row r="39">
          <cell r="A39" t="str">
            <v>R-VAR-0027</v>
          </cell>
          <cell r="C39" t="str">
            <v>UPDATES FURTHER TO DEMOLITION WORKS AC, D</v>
          </cell>
          <cell r="U39">
            <v>1</v>
          </cell>
          <cell r="AJ39"/>
        </row>
        <row r="40">
          <cell r="A40" t="str">
            <v>R-VAR-0028</v>
          </cell>
          <cell r="C40" t="str">
            <v>IT OFFICE CEILING BUILDING AC</v>
          </cell>
          <cell r="U40">
            <v>2</v>
          </cell>
          <cell r="AJ40"/>
        </row>
        <row r="41">
          <cell r="A41" t="str">
            <v>R-VAR-0029</v>
          </cell>
          <cell r="C41" t="str">
            <v>BUSINESS CONTINUITY MOVE OF ARCHIVES TO 7-02</v>
          </cell>
          <cell r="U41" t="str">
            <v>NOT ASSESSED</v>
          </cell>
          <cell r="AJ41"/>
        </row>
        <row r="42">
          <cell r="A42" t="str">
            <v>R-VAR-0030</v>
          </cell>
          <cell r="C42" t="str">
            <v>AV MODIFICATIONS / EQUIPMENT</v>
          </cell>
          <cell r="U42">
            <v>1</v>
          </cell>
          <cell r="AJ42"/>
        </row>
        <row r="43">
          <cell r="A43" t="str">
            <v>R-VAR-0031</v>
          </cell>
          <cell r="C43" t="str">
            <v>GLAZED PARTITIONS FIRE RESISTANCE (SSet 327)</v>
          </cell>
          <cell r="U43" t="str">
            <v>NOT ASSESSED</v>
          </cell>
          <cell r="AJ43"/>
        </row>
        <row r="44">
          <cell r="A44" t="str">
            <v>R-VAR-0032</v>
          </cell>
          <cell r="C44" t="str">
            <v>REDESIGN OF TR.S.084 RELOCATION (replaced by VAR 096)</v>
          </cell>
          <cell r="U44" t="str">
            <v/>
          </cell>
          <cell r="AJ44"/>
        </row>
        <row r="45">
          <cell r="A45" t="str">
            <v>R-VAR-0033</v>
          </cell>
          <cell r="C45" t="str">
            <v>BLDG D L6 WOODEN BEAM DISCOVERY</v>
          </cell>
          <cell r="U45" t="str">
            <v/>
          </cell>
          <cell r="AJ45"/>
        </row>
        <row r="46">
          <cell r="A46" t="str">
            <v>R-VAR-0034</v>
          </cell>
          <cell r="C46" t="str">
            <v>DOOR UPDATE BUILDINGS AC, B, S (SSet 323)</v>
          </cell>
          <cell r="U46" t="str">
            <v>NOT ASSESSED</v>
          </cell>
          <cell r="AJ46"/>
        </row>
        <row r="47">
          <cell r="A47" t="str">
            <v>R-VAR-0035</v>
          </cell>
          <cell r="C47" t="str">
            <v>OMIT AV EQUIPMENT BLDG B (SSet 331)</v>
          </cell>
          <cell r="U47">
            <v>3</v>
          </cell>
          <cell r="AJ47"/>
        </row>
        <row r="48">
          <cell r="A48" t="str">
            <v>R-VAR-0036</v>
          </cell>
          <cell r="C48" t="str">
            <v>RADIATOR REPLACEMENT</v>
          </cell>
          <cell r="U48" t="str">
            <v>NOT ASSESSED</v>
          </cell>
          <cell r="AJ48" t="str">
            <v>if we ever received a key plan (as-builts maybe?) that show the ones that were replaced and the ones that weren't? Can you also advise the reason why we didn't repair / replace them all? I'm assuming we may need to readjust the quants in the variation. 
RPN replied wtih as-built and explanation on 24.08.
RPN to provide reconciled quantity of what was replaced what was not vs the var 036 estimates.</v>
          </cell>
        </row>
        <row r="49">
          <cell r="A49" t="str">
            <v>R-VAR-0037</v>
          </cell>
          <cell r="C49" t="str">
            <v>DOOR HARDWARE REFINEMENT SDN DOORS</v>
          </cell>
          <cell r="U49">
            <v>3</v>
          </cell>
          <cell r="AJ49"/>
        </row>
        <row r="50">
          <cell r="A50" t="str">
            <v>R-VAR-0038</v>
          </cell>
          <cell r="C50" t="str">
            <v>METAL FINISH UPDATE (SSet 332)</v>
          </cell>
          <cell r="U50" t="str">
            <v>NOT ASSESSED</v>
          </cell>
          <cell r="AJ50"/>
        </row>
        <row r="51">
          <cell r="A51" t="str">
            <v>R-VAR-0039</v>
          </cell>
          <cell r="C51" t="str">
            <v>DOOR HARDWARE REFINEMENT BLDG AC AND D</v>
          </cell>
          <cell r="U51">
            <v>1</v>
          </cell>
          <cell r="AJ51"/>
        </row>
        <row r="52">
          <cell r="A52" t="str">
            <v>R-VAR-0040</v>
          </cell>
          <cell r="C52" t="str">
            <v>RESTAURATION OF HERITAGE FURNITURE (prov sum release)</v>
          </cell>
          <cell r="U52" t="str">
            <v>NOT ASSESSED</v>
          </cell>
          <cell r="AJ52"/>
        </row>
        <row r="53">
          <cell r="A53" t="str">
            <v>R-VAR-0041</v>
          </cell>
          <cell r="C53" t="str">
            <v>TOILET SINK SURFACE</v>
          </cell>
          <cell r="U53" t="str">
            <v/>
          </cell>
          <cell r="AJ53"/>
        </row>
        <row r="54">
          <cell r="A54" t="str">
            <v>R-VAR-0042</v>
          </cell>
          <cell r="C54" t="str">
            <v>DAYWORK</v>
          </cell>
          <cell r="U54">
            <v>5</v>
          </cell>
          <cell r="AJ54" t="str">
            <v>Step 4 revision 1 made by Alex on 09.07 to change cost allocation from risk pot to SHP contigency. SHP to issue Step 4 revision 1. Sent on signature on 12.07.</v>
          </cell>
        </row>
        <row r="55">
          <cell r="A55" t="str">
            <v>R-VAR-0043</v>
          </cell>
          <cell r="C55" t="str">
            <v>BLDG D LOBBY DOORS</v>
          </cell>
          <cell r="U55">
            <v>1</v>
          </cell>
          <cell r="AJ55"/>
        </row>
        <row r="56">
          <cell r="A56" t="str">
            <v>R-VAR-0044</v>
          </cell>
          <cell r="C56" t="str">
            <v>BLDG D FIRE PROOFING - CEILING SLABS</v>
          </cell>
          <cell r="U56">
            <v>1</v>
          </cell>
          <cell r="AJ56"/>
        </row>
        <row r="57">
          <cell r="A57" t="str">
            <v>R-VAR-0045</v>
          </cell>
          <cell r="C57" t="str">
            <v>BLDG D FIRE PROOFING - COLUMNS</v>
          </cell>
          <cell r="U57">
            <v>1</v>
          </cell>
          <cell r="AJ57" t="str">
            <v>G&amp;T revised cost per Amendment 7 and Patrick F email from 30.10.2024 on 31.10. SHP to issue.</v>
          </cell>
        </row>
        <row r="58">
          <cell r="A58" t="str">
            <v>R-VAR-0046</v>
          </cell>
          <cell r="C58" t="str">
            <v>DOOR HARDWARE REFINEMENT BLDG A, AB, B, C, S, D</v>
          </cell>
          <cell r="U58" t="str">
            <v>NOT ASSESSED</v>
          </cell>
          <cell r="AJ58" t="str">
            <v>determined</v>
          </cell>
        </row>
        <row r="59">
          <cell r="A59" t="str">
            <v>R-VAR-0047</v>
          </cell>
          <cell r="C59" t="str">
            <v>BUSINESS CONTINUITY FOR TIC/TEMPUS CONNECTIVITY IN PDN</v>
          </cell>
          <cell r="U59" t="str">
            <v>NOT ASSESSED</v>
          </cell>
          <cell r="AJ59"/>
        </row>
        <row r="60">
          <cell r="A60" t="str">
            <v>R-VAR-0048</v>
          </cell>
          <cell r="C60" t="str">
            <v>FIBRE OPTIC CABLES FOR PRESS AGENCIES</v>
          </cell>
          <cell r="U60">
            <v>3</v>
          </cell>
          <cell r="AJ60"/>
        </row>
        <row r="61">
          <cell r="A61" t="str">
            <v>R-VAR-0049</v>
          </cell>
          <cell r="C61" t="str">
            <v>MODIFS TO DG OFFICE AREA (PMI 036)</v>
          </cell>
          <cell r="U61">
            <v>1</v>
          </cell>
          <cell r="AJ61"/>
        </row>
        <row r="62">
          <cell r="A62" t="str">
            <v>R-VAR-0050</v>
          </cell>
          <cell r="C62" t="str">
            <v>FIRE DOOR CHANGES BLD A / AC (SSet 338)</v>
          </cell>
          <cell r="U62" t="str">
            <v>TBD</v>
          </cell>
          <cell r="AJ62"/>
        </row>
        <row r="63">
          <cell r="A63" t="str">
            <v>R-VAR-0051</v>
          </cell>
          <cell r="C63" t="str">
            <v>FIRE SUPPRESSION SYSTEM  (prov sum adjustement)</v>
          </cell>
          <cell r="U63" t="str">
            <v>NOT ASSESSED</v>
          </cell>
          <cell r="AJ63"/>
        </row>
        <row r="64">
          <cell r="A64" t="str">
            <v>R-VAR-0052</v>
          </cell>
          <cell r="C64" t="str">
            <v>SALLE V MISSING VENT DUCT IS BOOTHS</v>
          </cell>
          <cell r="U64">
            <v>1</v>
          </cell>
          <cell r="AJ64"/>
        </row>
        <row r="65">
          <cell r="A65" t="str">
            <v>R-VAR-0053</v>
          </cell>
          <cell r="C65" t="str">
            <v>ADDITIONAL CEILING FINISHES WORKS IN BLDG A/AB/AC</v>
          </cell>
          <cell r="U65" t="str">
            <v>TBD</v>
          </cell>
          <cell r="AJ65"/>
        </row>
        <row r="66">
          <cell r="A66" t="str">
            <v>R-VAR-0054</v>
          </cell>
          <cell r="C66" t="str">
            <v>BLDG D L00 FLOOR FINISH LEVELS PARTIAL REVISION</v>
          </cell>
          <cell r="U66">
            <v>2</v>
          </cell>
          <cell r="AJ66"/>
        </row>
        <row r="67">
          <cell r="A67" t="str">
            <v>R-VAR-0055</v>
          </cell>
          <cell r="C67" t="str">
            <v>REDESIGN OF NEW PRESS ROOM</v>
          </cell>
          <cell r="U67">
            <v>1</v>
          </cell>
          <cell r="AJ67" t="str">
            <v>G&amp;T revised cost per Amendment 7 and Patrick email from 30.10. on 31.10. SHP to issue.</v>
          </cell>
        </row>
        <row r="68">
          <cell r="A68" t="str">
            <v>R-VAR-0056</v>
          </cell>
          <cell r="C68" t="str">
            <v>TEMPORARY PRESS ROOM IN B.128</v>
          </cell>
          <cell r="U68">
            <v>1</v>
          </cell>
          <cell r="AJ68"/>
        </row>
        <row r="69">
          <cell r="A69" t="str">
            <v>R-VAR-0057</v>
          </cell>
          <cell r="C69" t="str">
            <v>DUCTWORK REDESIGN PLANT ASSEMBLY</v>
          </cell>
          <cell r="U69" t="str">
            <v>TBD</v>
          </cell>
          <cell r="AJ69"/>
        </row>
        <row r="70">
          <cell r="A70" t="str">
            <v>R-VAR-0058</v>
          </cell>
          <cell r="C70" t="str">
            <v>DOMESTIC HOT WATER HEAT PUMPS</v>
          </cell>
          <cell r="U70" t="str">
            <v>NOT ASSESSED</v>
          </cell>
          <cell r="AJ70"/>
        </row>
        <row r="71">
          <cell r="A71" t="str">
            <v>R-VAR-0059</v>
          </cell>
          <cell r="C71" t="str">
            <v>MODIFS TO DCM OFFICES IN S1 (PMI 037)</v>
          </cell>
          <cell r="U71">
            <v>1</v>
          </cell>
          <cell r="AJ71" t="str">
            <v>on 11.04.2024 RPN sent Step 4 Revision 1 stating that in the assessment not all the activities related to the parquet installation were taken into account.</v>
          </cell>
        </row>
        <row r="72">
          <cell r="A72" t="str">
            <v>R-VAR-0060</v>
          </cell>
          <cell r="C72" t="str">
            <v>WINDOWS (package 23a)</v>
          </cell>
          <cell r="U72" t="str">
            <v>NOT ASSESSED</v>
          </cell>
          <cell r="AJ72"/>
        </row>
        <row r="73">
          <cell r="A73" t="str">
            <v>R-VAR-0061</v>
          </cell>
          <cell r="C73" t="str">
            <v>CABLE REDUCTION (replaced by VAR 095)</v>
          </cell>
          <cell r="U73" t="str">
            <v/>
          </cell>
          <cell r="AJ73"/>
        </row>
        <row r="74">
          <cell r="A74" t="str">
            <v>R-VAR-0062</v>
          </cell>
          <cell r="C74" t="str">
            <v>REPLACEMENT OF ASCENDER BY AQUILON</v>
          </cell>
          <cell r="U74" t="str">
            <v>CLOSED</v>
          </cell>
          <cell r="AJ74"/>
        </row>
        <row r="75">
          <cell r="A75" t="str">
            <v>R-VAR-0063</v>
          </cell>
          <cell r="C75" t="str">
            <v>AH Interpreter Booth Changes - Equipment</v>
          </cell>
          <cell r="U75">
            <v>3</v>
          </cell>
          <cell r="AJ75"/>
        </row>
        <row r="76">
          <cell r="A76" t="str">
            <v>R-VAR-0064</v>
          </cell>
          <cell r="C76" t="str">
            <v>BLDG C CHANGES (PMI 039)</v>
          </cell>
          <cell r="U76">
            <v>1</v>
          </cell>
          <cell r="AJ76" t="str">
            <v>G&amp;T Step 3 comments issued 01/02. SHP issued Step 3. Determination notice sent to RPN on 17.04. G&amp;T to determine.RPN revised cost on 18.04. G&amp;T sent determination to SHP on 23.04. Alistair to discuss with Zeynep glazed partition cost.SHP to desecope built-in furniture.RPN sent revised cost on 25.04. G&amp;T reviewed on 29.04. RPN cost AGREED on 03.05. G&amp;T final cost document issued 07/05, SHP to issue Step 4. Sent on signature on 21.05.
G&amp;T revised cost per Amendment 7 and Patrick F email from 30.10.2024. on 31.10. SHP to issue.</v>
          </cell>
        </row>
        <row r="77">
          <cell r="A77" t="str">
            <v>R-VAR-0065</v>
          </cell>
          <cell r="C77" t="str">
            <v>BLDG C UBS ROOM FIREPROOFING</v>
          </cell>
          <cell r="U77" t="str">
            <v>DONE</v>
          </cell>
          <cell r="AJ77"/>
        </row>
        <row r="78">
          <cell r="A78" t="str">
            <v>R-VAR-0066</v>
          </cell>
          <cell r="C78" t="str">
            <v>SALLE C6 CHANGES</v>
          </cell>
          <cell r="U78">
            <v>1</v>
          </cell>
          <cell r="AJ78"/>
        </row>
        <row r="79">
          <cell r="A79" t="str">
            <v>R-VAR-0067</v>
          </cell>
          <cell r="C79" t="str">
            <v>BUILDING AA PANTRY CASEWORK A.662-1 (it was VAR 108)</v>
          </cell>
          <cell r="U79">
            <v>3</v>
          </cell>
          <cell r="AJ79"/>
        </row>
        <row r="80">
          <cell r="A80" t="str">
            <v>R-VAR-0068</v>
          </cell>
          <cell r="C80" t="str">
            <v>BUILDING S1 COPY PRINT CASEWORKS (it was VAR109)</v>
          </cell>
          <cell r="U80">
            <v>2</v>
          </cell>
          <cell r="AJ80"/>
        </row>
        <row r="81">
          <cell r="A81" t="str">
            <v>R-VAR-0069</v>
          </cell>
          <cell r="C81" t="str">
            <v>SALLE XVI SLAB MODIFCATION FOR VENTILATION DUCTS</v>
          </cell>
          <cell r="U81" t="str">
            <v>CLOSED</v>
          </cell>
          <cell r="AJ81"/>
        </row>
        <row r="82">
          <cell r="A82" t="str">
            <v>R-VAR-0070</v>
          </cell>
          <cell r="C82" t="str">
            <v>ENERGY CENTRE (prov sum release)</v>
          </cell>
          <cell r="U82">
            <v>2</v>
          </cell>
          <cell r="AJ82" t="str">
            <v>Step 4 rev 1 to change residual rist pot has been recieved in Octover 2024. SHP to issue Step 4 rev 1. Sent on signature on 26.11.</v>
          </cell>
        </row>
        <row r="83">
          <cell r="A83" t="str">
            <v>R-VAR-0071</v>
          </cell>
          <cell r="C83" t="str">
            <v>ASSEMBLY HALL COLUMNS RETROFITTING</v>
          </cell>
          <cell r="U83" t="str">
            <v>CLOSED</v>
          </cell>
          <cell r="AJ83"/>
        </row>
        <row r="84">
          <cell r="A84" t="str">
            <v>R-VAR-0072</v>
          </cell>
          <cell r="C84" t="str">
            <v>AV BC INFRASTR OPTIMISATION (PMI 030)</v>
          </cell>
          <cell r="U84">
            <v>1</v>
          </cell>
          <cell r="AJ84" t="str">
            <v>RPN &amp; ET to provide the shop drawing detailing the fibre backbone and interconnects based on Rev 29. Patrick V to issue a revised scope. SHP issued a PMI 63.  SOMBP sent revision to G&amp;T for costing on 03.05. 
Documents issued by SOMBP as submittal set on PMWeb. G&amp;T sent cost on 28.05. SOMBP uploaded on 01.06 to PMWeb. SHP to provide Step 1. Dragos ok. Per meeting on 09.06 - Patrick F updated Step 1 text and G&amp;T revised cost files. Sent on signature on 14.06.
RPN to issue Step 2 - Before tech meeting on 06.07 scope to be onfirmed. SCOPE CONFIRMED on 07.07. 
SHP to issue Step 3. Sent for signature on 04.10.
G&amp;T sent cost to RPN on 22.09. RPN replied on 05.10 and 17.10. G&amp;T revise cost on 2.11. RPN to respond.
30.11 meeting: 
1. agreed 350 hrs but EggTelsa first detail what are these hours for.
2. AV rack elevations
3. SMTP cables exercise what is actual
4. RPN to organise follow up meeting
Scope definition required in order to establish type and quantity of cabling being omitted, RPN to substantiate EggTelsa 350 hours claimed. 
Revised step 2 issued by RPN on 06/12/23, reduced engineering hours not accepted by eggtelsa
RPN sent cost on 6.12. 
G&amp;T and SOMBP to review. Zhid provided comments to G&amp;T on 8.12.
If by 11.12 Eggtelsa doesn't send hours substanciation SHP will determine.
G&amp;T on 11.12 raised a issue due to type of SMPTE cable to use: need to be technically clarified. G&amp;T send spec to RPN on 12.12. Patric V sent SMPTE cables analysis to G&amp;T on 27.12. RPN is waiting from G&amp;T cost assessment with SMPTE cable used accordingly with the spec. they send, so that RPN can verify the cost - G&amp;T issued cost revision on 03.01.24. Patrick F sent filanl SMPTE cables file to G&amp;T and RPN on 12.01. G&amp;T revised cost on 15.01. RPN reviewed cost on 25.01. if not agreed by 02.02.2024 COB it will be determined. G&amp;T issued cost on 07.02. Cost AGREED on 07.02. G&amp;T sent final cost files to SHP  on 13.02. SHP to issue. Sent on signature on 14.02.</v>
          </cell>
        </row>
        <row r="85">
          <cell r="A85" t="str">
            <v>R-VAR-0073</v>
          </cell>
          <cell r="C85" t="str">
            <v>PRESS ROOM OVERDOOR HEATER</v>
          </cell>
          <cell r="U85">
            <v>1</v>
          </cell>
          <cell r="AJ85"/>
        </row>
        <row r="86">
          <cell r="A86" t="str">
            <v>R-VAR-0074</v>
          </cell>
          <cell r="C86" t="str">
            <v>AV MODIFS FOR SECTION A (incl. regie and position of cameras)</v>
          </cell>
          <cell r="U86">
            <v>3</v>
          </cell>
          <cell r="AJ86"/>
        </row>
        <row r="87">
          <cell r="A87" t="str">
            <v>R-VAR-0075</v>
          </cell>
          <cell r="C87" t="str">
            <v>AV MODIFS FOR SECTION AB (AV Room XII included)</v>
          </cell>
          <cell r="U87">
            <v>1</v>
          </cell>
          <cell r="AJ87"/>
        </row>
        <row r="88">
          <cell r="A88" t="str">
            <v>R-VAR-0076</v>
          </cell>
          <cell r="C88" t="str">
            <v>AV EQUIPMENT  SECTION A (ref to sound system to AH)</v>
          </cell>
          <cell r="U88">
            <v>3</v>
          </cell>
          <cell r="AJ88"/>
        </row>
        <row r="89">
          <cell r="A89" t="str">
            <v>R-VAR-0077</v>
          </cell>
          <cell r="C89" t="str">
            <v>AV MODIFS FOR SECTION C</v>
          </cell>
          <cell r="U89" t="str">
            <v>NOT ASSESSED</v>
          </cell>
          <cell r="AJ89"/>
        </row>
        <row r="90">
          <cell r="A90" t="str">
            <v>R-VAR-0078</v>
          </cell>
          <cell r="C90" t="str">
            <v>EXISTING BOOTHS AIR DIFFUSER IN ROOMS 3,5,7,9</v>
          </cell>
          <cell r="U90">
            <v>1</v>
          </cell>
          <cell r="AJ90"/>
        </row>
        <row r="91">
          <cell r="A91" t="str">
            <v>R-VAR-0079</v>
          </cell>
          <cell r="C91" t="str">
            <v>BLINDS (package 23e) prov. sum</v>
          </cell>
          <cell r="U91" t="str">
            <v>NOT ASSESSED</v>
          </cell>
          <cell r="AJ91"/>
        </row>
        <row r="92">
          <cell r="A92" t="str">
            <v>R-VAR-0080</v>
          </cell>
          <cell r="C92" t="str">
            <v>ROOM XII REDESIGN UPDATE</v>
          </cell>
          <cell r="U92">
            <v>1</v>
          </cell>
          <cell r="AJ92" t="str">
            <v>G&amp;T revised cost per Amendment 7 and Patrick F email from 30.10.2024. on 31.10. SHP to issue.</v>
          </cell>
        </row>
        <row r="93">
          <cell r="A93" t="str">
            <v>R-VAR-0081</v>
          </cell>
          <cell r="C93" t="str">
            <v>WATER PIPES IN ELEC ROOMS A13 A27</v>
          </cell>
          <cell r="U93">
            <v>3</v>
          </cell>
          <cell r="AJ93"/>
        </row>
        <row r="94">
          <cell r="A94" t="str">
            <v>R-VAR-0082</v>
          </cell>
          <cell r="C94" t="str">
            <v>ICTS WORKSHOP DOORS</v>
          </cell>
          <cell r="U94">
            <v>1</v>
          </cell>
          <cell r="AJ94"/>
        </row>
        <row r="95">
          <cell r="A95" t="str">
            <v>R-VAR-0083</v>
          </cell>
          <cell r="C95" t="str">
            <v>SECTION AC PAS PERDUS CEILING REPAIR WORKS</v>
          </cell>
          <cell r="U95">
            <v>1</v>
          </cell>
          <cell r="AJ95"/>
        </row>
        <row r="96">
          <cell r="A96" t="str">
            <v>R-VAR-0084</v>
          </cell>
          <cell r="C96" t="str">
            <v>NEW GENERATION BADGE READERS</v>
          </cell>
          <cell r="U96" t="str">
            <v>NOT ASSESSED</v>
          </cell>
          <cell r="AJ96" t="str">
            <v>SHP/Alex requested residual risk / contingency allocation change on 28.04. Marina sent revised forms on 29.04. SHP to issue.</v>
          </cell>
        </row>
        <row r="97">
          <cell r="A97" t="str">
            <v>R-VAR-0085</v>
          </cell>
          <cell r="C97" t="str">
            <v>AH Interpreter Booth Changes – Infrastructure</v>
          </cell>
          <cell r="U97" t="str">
            <v>CLOSED</v>
          </cell>
          <cell r="AJ97"/>
        </row>
        <row r="98">
          <cell r="A98" t="str">
            <v>R-VAR-0086</v>
          </cell>
          <cell r="C98" t="str">
            <v>NEW MESH FOR LIFT SHAFT 7A / 7B</v>
          </cell>
          <cell r="U98" t="str">
            <v>NOT ASSESSED</v>
          </cell>
          <cell r="AJ98"/>
        </row>
        <row r="99">
          <cell r="A99" t="str">
            <v>R-VAR-0087</v>
          </cell>
          <cell r="C99" t="str">
            <v>HYBRID OFFICE A.823 CEILING AND WALLS</v>
          </cell>
          <cell r="U99" t="str">
            <v>CLOSED</v>
          </cell>
          <cell r="AJ99"/>
        </row>
        <row r="100">
          <cell r="A100" t="str">
            <v>R-VAR-0088</v>
          </cell>
          <cell r="C100" t="str">
            <v>MINI PCs FOR AV SYSTEM</v>
          </cell>
          <cell r="U100" t="str">
            <v>NOT ASSESSED</v>
          </cell>
          <cell r="AJ100"/>
        </row>
        <row r="101">
          <cell r="A101" t="str">
            <v>R-VAR-0089</v>
          </cell>
          <cell r="C101" t="str">
            <v>HVAC CHANGES SALLE C6, TV STUDIO AND ATTENUATORS</v>
          </cell>
          <cell r="U101" t="str">
            <v>NOT ASSESSED</v>
          </cell>
          <cell r="AJ101"/>
        </row>
        <row r="102">
          <cell r="A102" t="str">
            <v>R-VAR-0090</v>
          </cell>
          <cell r="C102" t="str">
            <v>BLDG S2 FIRE PROOFING</v>
          </cell>
          <cell r="U102">
            <v>4</v>
          </cell>
          <cell r="AJ102" t="str">
            <v>RPN uploaded the report on 09.01.23. SOMBP to issue Step 1 based on report. Sent to G&amp;T for costing on 25.07. G&amp;T issued cost files on 11.08. SOMBP uploaded in PMWeb on 23.08.2023. Sam oked on 08.09. SHP to issue. Sent for signature on September 11. RPN not issued Step 2. SHP issued Step 3. RPN issued cost proposal on 06.03. G&amp;T to reviewed on 13.03. RPN cost AGREED on 13.03. G&amp;T sent cost file to SHP on 15.03. SHP to issue. Sent for signature on 19.03.</v>
          </cell>
        </row>
        <row r="103">
          <cell r="A103" t="str">
            <v>R-VAR-0091</v>
          </cell>
          <cell r="C103" t="str">
            <v>REVOLVING DOORS B20 AND S1, OMIT NIGHT CLOSURE</v>
          </cell>
          <cell r="U103">
            <v>2</v>
          </cell>
          <cell r="AJ103"/>
        </row>
        <row r="104">
          <cell r="A104" t="str">
            <v>R-VAR-0092</v>
          </cell>
          <cell r="C104" t="str">
            <v>ROOM VIII LIGHTING</v>
          </cell>
          <cell r="U104">
            <v>1</v>
          </cell>
          <cell r="AJ104"/>
        </row>
        <row r="105">
          <cell r="A105" t="str">
            <v>R-VAR-0093</v>
          </cell>
          <cell r="C105" t="str">
            <v>BLDG S1 NODE 4 CHANGES</v>
          </cell>
          <cell r="U105">
            <v>2</v>
          </cell>
          <cell r="AJ105"/>
        </row>
        <row r="106">
          <cell r="A106" t="str">
            <v>R-VAR-0094</v>
          </cell>
          <cell r="C106" t="str">
            <v>FIRE DOOR HEIGHT CHANGES BLDG S2 AND C</v>
          </cell>
          <cell r="U106" t="str">
            <v>NOT ASSESSED</v>
          </cell>
          <cell r="AJ106"/>
        </row>
        <row r="107">
          <cell r="A107" t="str">
            <v>R-VAR-0095</v>
          </cell>
          <cell r="C107" t="str">
            <v>CABLE REDUCTION (REVISED VAR 061)</v>
          </cell>
          <cell r="U107" t="str">
            <v>NOT ASSESSED</v>
          </cell>
          <cell r="AJ107"/>
        </row>
        <row r="108">
          <cell r="A108" t="str">
            <v>R-VAR-0096</v>
          </cell>
          <cell r="C108" t="str">
            <v>TR S.084 (REVISED VAR 032)</v>
          </cell>
          <cell r="U108">
            <v>1</v>
          </cell>
          <cell r="AJ108"/>
        </row>
        <row r="109">
          <cell r="A109" t="str">
            <v>R-VAR-0097</v>
          </cell>
          <cell r="C109" t="str">
            <v>POTABILITY TEST</v>
          </cell>
          <cell r="U109" t="str">
            <v>NA</v>
          </cell>
          <cell r="AJ109" t="str">
            <v>SHP/Alex requested residual risk / contingency allocation change on 28.09. Marina sent revised forms on 29.04. SHP to issue.</v>
          </cell>
        </row>
        <row r="110">
          <cell r="A110" t="str">
            <v>R-VAR-0098</v>
          </cell>
          <cell r="C110" t="str">
            <v>REROUTING OF COOLING LOOP BLDG E</v>
          </cell>
          <cell r="U110">
            <v>2</v>
          </cell>
          <cell r="AJ110"/>
        </row>
        <row r="111">
          <cell r="A111" t="str">
            <v>R-VAR-0099</v>
          </cell>
          <cell r="C111" t="str">
            <v>ROOM XI CEILING MODIFICATION</v>
          </cell>
          <cell r="U111">
            <v>1</v>
          </cell>
          <cell r="AJ111"/>
        </row>
        <row r="112">
          <cell r="A112" t="str">
            <v>R-VAR-0100</v>
          </cell>
          <cell r="C112" t="str">
            <v>BDLG AC REFURBISHMENT OF EXISTING INTERNAL DOORS</v>
          </cell>
          <cell r="U112">
            <v>1</v>
          </cell>
          <cell r="AJ112"/>
        </row>
        <row r="113">
          <cell r="A113" t="str">
            <v>R-VAR-0101</v>
          </cell>
          <cell r="C113" t="str">
            <v>BDLG A, AB, D, C, S1 REFURB OF EXISTING INT DOORS AND VARIOUS DOOR CHANGES</v>
          </cell>
          <cell r="U113">
            <v>4</v>
          </cell>
          <cell r="AJ113" t="str">
            <v>SHP/Alex requested residual risk / contingency allocation change on 28.04. Maricn revised forms on 29.04. SHP to issue.</v>
          </cell>
        </row>
        <row r="114">
          <cell r="A114" t="str">
            <v>R-VAR-0102</v>
          </cell>
          <cell r="C114" t="str">
            <v>BDLG B AND S2 REFURBISHMENT OF EXISTING INTERNAL DOORS</v>
          </cell>
          <cell r="U114">
            <v>3</v>
          </cell>
          <cell r="AJ114" t="str">
            <v>14.06. SHP to issue Step 1. Max ok on 28.06. Alex - to check var type in IntF, sent on signature on 04.07. G&amp;T to reviewStep 2. Cost agreed on 21.09. SHP to issue Step 3&amp;4. Sent for signature on 26.10.</v>
          </cell>
        </row>
        <row r="115">
          <cell r="A115" t="str">
            <v>R-VAR-0103</v>
          </cell>
          <cell r="C115" t="str">
            <v>AV DN NETWORK AND ANTENNA</v>
          </cell>
          <cell r="U115">
            <v>2</v>
          </cell>
          <cell r="AJ115"/>
        </row>
        <row r="116">
          <cell r="A116" t="str">
            <v>R-VAR-0104</v>
          </cell>
          <cell r="C116" t="str">
            <v xml:space="preserve">AV RACK ROOM MODIFICATION ROOM VII </v>
          </cell>
          <cell r="U116">
            <v>1</v>
          </cell>
          <cell r="AJ116"/>
        </row>
        <row r="117">
          <cell r="A117" t="str">
            <v>R-VAR-0105</v>
          </cell>
          <cell r="C117" t="str">
            <v>RELOCATION OF WATER SOFTENER BUILDING A</v>
          </cell>
          <cell r="U117">
            <v>3</v>
          </cell>
          <cell r="AJ117"/>
        </row>
        <row r="118">
          <cell r="A118" t="str">
            <v>R-VAR-0106</v>
          </cell>
          <cell r="C118" t="str">
            <v>BLDG C ARCHIVE FIRE PROTECTION</v>
          </cell>
          <cell r="U118">
            <v>1</v>
          </cell>
          <cell r="AJ118" t="str">
            <v>G&amp;T revised cost on 07.02. SHP to issue Step 4 rev 1. G&amp;T agreed cost with RPN on 22.02. SHP to issue Step 4 rev 1. Sent for signature on 26.02.</v>
          </cell>
        </row>
        <row r="119">
          <cell r="A119" t="str">
            <v>R-VAR-0107</v>
          </cell>
          <cell r="C119" t="str">
            <v>MOTORIZED WINDOWS BLDG S2</v>
          </cell>
          <cell r="U119">
            <v>2</v>
          </cell>
          <cell r="AJ119" t="str">
            <v>SHP/Alex requested residual risk / contingency allocation change on 28.04. Marina revised forms on 29.04. SHP to issue.</v>
          </cell>
        </row>
        <row r="120">
          <cell r="A120" t="str">
            <v>R-VAR-0108</v>
          </cell>
          <cell r="C120" t="str">
            <v>WATER DISTRIBUTION NETWORK B-E</v>
          </cell>
          <cell r="U120">
            <v>2</v>
          </cell>
          <cell r="AJ120"/>
        </row>
        <row r="121">
          <cell r="A121" t="str">
            <v>R-VAR-0109</v>
          </cell>
          <cell r="C121" t="str">
            <v>A11 AND C6 ENTRANCE CHANGES</v>
          </cell>
          <cell r="U121">
            <v>5</v>
          </cell>
          <cell r="AJ121"/>
        </row>
        <row r="122">
          <cell r="A122" t="str">
            <v>R-VAR-0110</v>
          </cell>
          <cell r="C122" t="str">
            <v>BLDG C SKYLIGHT - SMOKE EXHAUST DAMPERS AND LOUVER MOTOR</v>
          </cell>
          <cell r="U122" t="str">
            <v>NOT ASSESSED</v>
          </cell>
          <cell r="AJ122"/>
        </row>
        <row r="123">
          <cell r="A123" t="str">
            <v>R-VAR-0111</v>
          </cell>
          <cell r="C123" t="str">
            <v>BLDG A L06 COLUMN SHIFT IN TR</v>
          </cell>
          <cell r="U123" t="str">
            <v>CLOSED</v>
          </cell>
          <cell r="AJ123"/>
        </row>
        <row r="124">
          <cell r="A124" t="str">
            <v>R-VAR-0112</v>
          </cell>
          <cell r="C124" t="str">
            <v>SALLE XI HVAC CHANGES</v>
          </cell>
          <cell r="U124">
            <v>1</v>
          </cell>
          <cell r="AJ124"/>
        </row>
        <row r="125">
          <cell r="A125" t="str">
            <v>R-VAR-0113</v>
          </cell>
          <cell r="C125" t="str">
            <v>BLDG S1 AND C - CHANGES TO SUPPORT NODES</v>
          </cell>
          <cell r="U125" t="str">
            <v>NOT ASSESSED</v>
          </cell>
          <cell r="AJ125"/>
        </row>
        <row r="126">
          <cell r="A126" t="str">
            <v>R-VAR-0114</v>
          </cell>
          <cell r="C126" t="str">
            <v>ADDITIONAL ELEC/ICT SOCKETS IN CONF ROOMS (AC )</v>
          </cell>
          <cell r="U126">
            <v>1</v>
          </cell>
          <cell r="AJ126"/>
        </row>
        <row r="127">
          <cell r="A127" t="str">
            <v>R-VAR-0115</v>
          </cell>
          <cell r="C127" t="str">
            <v>ADDITIONAL ELEC/ICT SOCKETS IN CONF ROOMS (other Sections)</v>
          </cell>
          <cell r="U127">
            <v>2</v>
          </cell>
          <cell r="AJ127" t="str">
            <v>Step 1 under development. A clone form VAR114 but for section A-C-AB. Waiting for FMS confirmation for plans. Step 1 drafted by Patrick V on 4.12. Sent to G&amp;T for costing on 4.12. G&amp;T issued cost files 0n 3.01.24. SHP to issue. Sent on signature on 18.01. RPN didn't issue Step 2. SHP issued Step 3. G&amp;T sent determination on 05.07. G&amp;T to revise determination file per Alex email from 11.07. SHP to isseu Step 4 determination. SHP to check if this variation will be revised/withdrawn per Federica B statement on 10.07 Patrick V confirmed no revision. RPN issued basis for commercial discussion on 11.07. G&amp;T assessed on 19.07. SHP reponded to to Clare's email from 19.07 on 07.08. RPN responded to G&amp;T on 29.08. G&amp;T replied on 12.09. RPN responded on 26.09. G&amp;T replied on 08.10. G&amp;T cost AGREED on 29.10. SHP to issue.</v>
          </cell>
        </row>
        <row r="128">
          <cell r="A128" t="str">
            <v>R-VAR-0116</v>
          </cell>
          <cell r="C128" t="str">
            <v>ROOM IX POSITION OF THE FCU IN THE AV.TR</v>
          </cell>
          <cell r="U128">
            <v>1</v>
          </cell>
          <cell r="AJ128" t="str">
            <v>G&amp;T to revise cost per Amendment 7 and Patrick email from 30.10. SHP to issue.</v>
          </cell>
        </row>
        <row r="129">
          <cell r="A129" t="str">
            <v>R-VAR-0117</v>
          </cell>
          <cell r="C129" t="str">
            <v>BROADCAST EQUIPMENT AND PENDING POINTS FOR AV</v>
          </cell>
          <cell r="U129">
            <v>1</v>
          </cell>
          <cell r="AJ129"/>
        </row>
        <row r="130">
          <cell r="A130" t="str">
            <v>R-VAR-0118</v>
          </cell>
          <cell r="C130" t="str">
            <v>FIRE PROOF CEILING IN CORRIDOR CH-C0-G13/K13 (AC / B1)</v>
          </cell>
          <cell r="U130">
            <v>1</v>
          </cell>
          <cell r="AJ130"/>
        </row>
        <row r="131">
          <cell r="A131" t="str">
            <v>R-VAR-0119</v>
          </cell>
          <cell r="C131" t="str">
            <v>AHU OFFICES L07 BLDG A</v>
          </cell>
          <cell r="U131" t="str">
            <v/>
          </cell>
          <cell r="AJ131" t="str">
            <v xml:space="preserve">the AHU was in the design </v>
          </cell>
        </row>
        <row r="132">
          <cell r="A132" t="str">
            <v>R-VAR-0120</v>
          </cell>
          <cell r="C132" t="str">
            <v>ASBESTOS REMOVAL (provisional quantities)</v>
          </cell>
          <cell r="U132">
            <v>5</v>
          </cell>
          <cell r="AJ132" t="str">
            <v>SHP to revise Step 4 Revision 1 to correct cost allocation error. Sent on signature on 12.07.</v>
          </cell>
        </row>
        <row r="133">
          <cell r="A133" t="str">
            <v>R-VAR-0121</v>
          </cell>
          <cell r="C133" t="str">
            <v>BLDG S2 SURVEY</v>
          </cell>
          <cell r="U133">
            <v>2</v>
          </cell>
          <cell r="AJ133"/>
        </row>
        <row r="134">
          <cell r="A134" t="str">
            <v>R-VAR-0122</v>
          </cell>
          <cell r="C134" t="str">
            <v>ACCESS CONTROL BLDG AC</v>
          </cell>
          <cell r="U134">
            <v>1</v>
          </cell>
          <cell r="AJ134"/>
        </row>
        <row r="135">
          <cell r="A135" t="str">
            <v>R-VAR-0123</v>
          </cell>
          <cell r="C135" t="str">
            <v>UNTV CEILING AMENDMENTS</v>
          </cell>
          <cell r="U135">
            <v>2</v>
          </cell>
          <cell r="AJ135" t="str">
            <v>RPN to issue step 2 – still outstanding. Waiting for subcontractor reply. RPN to send before 7/10 and organise a meeting - To be discussed along with VAR089 - Bulkhead added by INS 192 on 11.01.2023. RPN has asked focus meeting with G&amp;T to be confirmed - for mechanical scope - include SOMBP.  SHP to issue Step 3. G&amp;T havent had a request for a focus meeting - awaiting RPN action. RPN to conduct survey. RPN issued commercial proposal on 07.05. First SOMBP commented the scope from Calum 07.06. G&amp;T commented cost to RPN on 07.06. RPN to reply. G&amp;T sent determination on 05.07. SHP to issue Step 4 determination. Sent on signature on 25.07.</v>
          </cell>
        </row>
        <row r="136">
          <cell r="A136" t="str">
            <v>R-VAR-0124</v>
          </cell>
          <cell r="C136" t="str">
            <v>REROUTING OF COOLING RISER AHU-05-A.584.1-01</v>
          </cell>
          <cell r="U136">
            <v>1</v>
          </cell>
          <cell r="AJ136"/>
        </row>
        <row r="137">
          <cell r="A137" t="str">
            <v>R-VAR-0125</v>
          </cell>
          <cell r="C137" t="str">
            <v>BLDG A L01 FIRE ESCAPE ROUTE</v>
          </cell>
          <cell r="U137">
            <v>3</v>
          </cell>
          <cell r="AJ137"/>
        </row>
        <row r="138">
          <cell r="A138" t="str">
            <v>R-VAR-0126</v>
          </cell>
          <cell r="C138" t="str">
            <v>BLDG A L06 CABLE TRAY MANAGEMENT</v>
          </cell>
          <cell r="U138" t="str">
            <v>CLOSED</v>
          </cell>
          <cell r="AJ138" t="str">
            <v>G&amp;T to revise cost file per Amendment 7 Patrick email from 30.10. SHP to issue.</v>
          </cell>
        </row>
        <row r="139">
          <cell r="A139" t="str">
            <v>R-VAR-0127</v>
          </cell>
          <cell r="C139" t="str">
            <v>ANTI-INTRUSION SYSTEM</v>
          </cell>
          <cell r="U139">
            <v>5</v>
          </cell>
          <cell r="AJ139"/>
        </row>
        <row r="140">
          <cell r="A140" t="str">
            <v>R-VAR-0128</v>
          </cell>
          <cell r="C140" t="str">
            <v>BLDG B AND C ATRIUM SMOKE EXTRACTION</v>
          </cell>
          <cell r="U140">
            <v>4</v>
          </cell>
          <cell r="AJ140" t="str">
            <v>12.10.2025: RPN is claiming for more money for the installation (not for the cable itself, only the installation that requires specific metallic clamps used for fire rated cables) of the cable powering T.C-1.02 described in VAR128 (see L46 of the attached). G&amp;T to advise to SOMBP/Cedric E.</v>
          </cell>
        </row>
        <row r="141">
          <cell r="A141" t="str">
            <v>R-VAR-0129</v>
          </cell>
          <cell r="C141" t="str">
            <v>AB AC CEILING INTERPRETER BOOTHS CORRIDORS AND FOYER SALLE III</v>
          </cell>
          <cell r="U141" t="str">
            <v>NA</v>
          </cell>
          <cell r="AJ141"/>
        </row>
        <row r="142">
          <cell r="A142" t="str">
            <v>R-VAR-0130</v>
          </cell>
          <cell r="C142" t="str">
            <v>REFRIGERATION COORDINATION</v>
          </cell>
          <cell r="U142" t="str">
            <v/>
          </cell>
          <cell r="AJ142"/>
        </row>
        <row r="143">
          <cell r="A143" t="str">
            <v>R-VAR-0131</v>
          </cell>
          <cell r="C143" t="str">
            <v>EXTERIOR GUIDING STRIPES BETWEEN E AND H</v>
          </cell>
          <cell r="U143" t="str">
            <v/>
          </cell>
          <cell r="AJ143" t="str">
            <v>Moved to Building E project</v>
          </cell>
        </row>
        <row r="144">
          <cell r="A144" t="str">
            <v>R-VAR-0132</v>
          </cell>
          <cell r="C144" t="str">
            <v>MODIFS OF SPACES IN B0 (vending), B2 (lounge) AND B5 (no hybrid)</v>
          </cell>
          <cell r="U144" t="str">
            <v/>
          </cell>
          <cell r="AJ144" t="str">
            <v>cancelled, items included in VE</v>
          </cell>
        </row>
        <row r="145">
          <cell r="A145" t="str">
            <v>R-VAR-0133</v>
          </cell>
          <cell r="C145" t="str">
            <v xml:space="preserve">Survey ducts in ventilation plant Assemblee </v>
          </cell>
          <cell r="U145" t="str">
            <v>CLOSED</v>
          </cell>
          <cell r="AJ145"/>
        </row>
        <row r="146">
          <cell r="A146" t="str">
            <v>R-VAR-0134</v>
          </cell>
          <cell r="C146" t="str">
            <v>WINDOWS IN S1 / B2</v>
          </cell>
          <cell r="U146">
            <v>2</v>
          </cell>
          <cell r="AJ146"/>
        </row>
        <row r="147">
          <cell r="A147" t="str">
            <v>R-VAR-0135</v>
          </cell>
          <cell r="C147" t="str">
            <v>C / B / S1 / S2  CORRECTION OF DOOR HEIGHTS</v>
          </cell>
          <cell r="U147" t="str">
            <v>DONE</v>
          </cell>
          <cell r="AJ147"/>
        </row>
        <row r="148">
          <cell r="A148" t="str">
            <v>R-VAR-0136</v>
          </cell>
          <cell r="C148" t="str">
            <v>S1 AMENDMENT TO FIRE CABINETS AND CUPBOARDS</v>
          </cell>
          <cell r="U148">
            <v>1</v>
          </cell>
          <cell r="AJ148"/>
        </row>
        <row r="149">
          <cell r="A149" t="str">
            <v>R-VAR-0137</v>
          </cell>
          <cell r="C149" t="str">
            <v>WINDOW OPENING LIMITERS</v>
          </cell>
          <cell r="U149">
            <v>4</v>
          </cell>
          <cell r="AJ149"/>
        </row>
        <row r="150">
          <cell r="A150" t="str">
            <v>R-VAR-0138</v>
          </cell>
          <cell r="C150" t="str">
            <v xml:space="preserve">BLDG C - ARCHIVES VENTILATION - BASEMENT </v>
          </cell>
          <cell r="U150">
            <v>1</v>
          </cell>
          <cell r="AJ150" t="str">
            <v>SOMBP drafted a scope revision on 08.02.24, revised on 09.02. Sam oked on 09.02. SOMBP sent to G&amp;T on 09.02 and 19.02. G&amp;T costed on 23.02. G&amp;T updated cost revision per marina's email from 26.02 on 08.03. G&amp;T added omission per Stefano email from 12.03 on 22.03. G&amp;T revised cost on 50.04. SOMBP checked and uploaded on 08.04. SHP to issue Step 3 Rev 1. RPN uploaded commercial proposal on 20.04. G&amp;T reviewed on 21.05. RPN responded on 05.06. G&amp;T reviewed on 11.06. RPN cost AGREED on 12.06. G&amp;T sent final cost file to SHP on 18.06. SHP to issue. Sent on signature on 19.06.
G&amp;T revised cost per Amendment 7 and Patrick F email from 30.10.2024. on 31.10. SHP to issue.</v>
          </cell>
        </row>
        <row r="151">
          <cell r="A151" t="str">
            <v>R-VAR-0139</v>
          </cell>
          <cell r="C151" t="str">
            <v>BLDG AB HEAT EXCHANGER</v>
          </cell>
          <cell r="U151">
            <v>1</v>
          </cell>
          <cell r="AJ151"/>
        </row>
        <row r="152">
          <cell r="A152" t="str">
            <v>R-VAR-0140</v>
          </cell>
          <cell r="C152" t="str">
            <v>ADDITIONAL FIRE EXTINGUISHERS BLDG A AND AC</v>
          </cell>
          <cell r="U152">
            <v>2</v>
          </cell>
          <cell r="AJ152"/>
        </row>
        <row r="153">
          <cell r="A153" t="str">
            <v>R-VAR-0141</v>
          </cell>
          <cell r="C153" t="str">
            <v>BLDG S2 STRUCTURAL REINFORCEMENT FOR COMPACTUS</v>
          </cell>
          <cell r="U153">
            <v>4</v>
          </cell>
          <cell r="AJ153" t="str">
            <v>On hold till 2023. No more waiting for UNCTAD?. Cancelled per Zeynep message on 14.08.2025.</v>
          </cell>
        </row>
        <row r="154">
          <cell r="A154" t="str">
            <v>R-VAR-0142</v>
          </cell>
          <cell r="C154" t="str">
            <v>SALLE XVI BLACKOUT BLINDS</v>
          </cell>
          <cell r="U154">
            <v>1</v>
          </cell>
          <cell r="AJ154"/>
        </row>
        <row r="155">
          <cell r="A155" t="str">
            <v>R-VAR-0143</v>
          </cell>
          <cell r="C155" t="str">
            <v>Thermostatic Valves for the Radiator Circuits</v>
          </cell>
          <cell r="U155">
            <v>1</v>
          </cell>
          <cell r="AJ155"/>
        </row>
        <row r="156">
          <cell r="A156" t="str">
            <v>R-VAR-0144</v>
          </cell>
          <cell r="C156" t="str">
            <v>BLDG C CEILING CHANGES</v>
          </cell>
          <cell r="U156">
            <v>4</v>
          </cell>
          <cell r="AJ156" t="str">
            <v>RPN to issue step 2 – still outstanding. BOQ is not needed - var is cost neutral 12.10.2022: G&amp;T sent pricing doc. RPN to issue Step 2. Step 3 sent for signature on 15.08.  RPN agreed to var. SHP to issue Step 4. Sent on signature on 14.09.</v>
          </cell>
        </row>
        <row r="157">
          <cell r="A157" t="str">
            <v>R-VAR-0145</v>
          </cell>
          <cell r="C157" t="str">
            <v>BLDG D COOLING LOOP</v>
          </cell>
          <cell r="U157">
            <v>1</v>
          </cell>
          <cell r="AJ157" t="str">
            <v>G&amp;T revised cost per Amendment 7 and Patrick F email from 30.10.2024 on 31.10. SHP to issue.</v>
          </cell>
        </row>
        <row r="158">
          <cell r="A158" t="str">
            <v>R-VAR-0146</v>
          </cell>
          <cell r="C158" t="str">
            <v>BLDG C MC6 NEW CAR LOAD</v>
          </cell>
          <cell r="U158">
            <v>3</v>
          </cell>
          <cell r="AJ158"/>
        </row>
        <row r="159">
          <cell r="A159" t="str">
            <v>R-VAR-0147</v>
          </cell>
          <cell r="C159" t="str">
            <v>ASSEMBLY HALL LIGHTING REPLACEMENT - CORNICES</v>
          </cell>
          <cell r="U159" t="str">
            <v>CLOSED</v>
          </cell>
          <cell r="AJ159"/>
        </row>
        <row r="160">
          <cell r="A160" t="str">
            <v>R-VAR-0148</v>
          </cell>
          <cell r="C160" t="str">
            <v>BLDG A UPDATE L01 AND RISER L01-09</v>
          </cell>
          <cell r="U160">
            <v>3</v>
          </cell>
          <cell r="AJ160"/>
        </row>
        <row r="161">
          <cell r="A161" t="str">
            <v>R-VAR-0149</v>
          </cell>
          <cell r="C161" t="str">
            <v>TEMPUS FIRE DETECTION FIBER</v>
          </cell>
          <cell r="U161" t="str">
            <v/>
          </cell>
          <cell r="AJ161"/>
        </row>
        <row r="162">
          <cell r="A162" t="str">
            <v>R-VAR-0150</v>
          </cell>
          <cell r="C162" t="str">
            <v>DRAINS FOR RADIATORS</v>
          </cell>
          <cell r="U162" t="str">
            <v/>
          </cell>
          <cell r="AJ162"/>
        </row>
        <row r="163">
          <cell r="A163" t="str">
            <v>R-VAR-0151</v>
          </cell>
          <cell r="C163" t="str">
            <v>DELEGATES RESTAURANT ENTRANCE FLOOR FINISH</v>
          </cell>
          <cell r="U163" t="str">
            <v>CLOSED</v>
          </cell>
          <cell r="AJ163"/>
        </row>
        <row r="164">
          <cell r="A164" t="str">
            <v>R-VAR-0152</v>
          </cell>
          <cell r="C164" t="str">
            <v>LINOLEUM FLOOR LAYOUT</v>
          </cell>
          <cell r="U164">
            <v>4</v>
          </cell>
          <cell r="AJ164"/>
        </row>
        <row r="165">
          <cell r="A165" t="str">
            <v>R-VAR-0153</v>
          </cell>
          <cell r="C165" t="str">
            <v>BLDG A L10 A.1006 PLANTROOM ADAPTATIONS</v>
          </cell>
          <cell r="U165" t="str">
            <v>CLOSED</v>
          </cell>
          <cell r="AJ165"/>
        </row>
        <row r="166">
          <cell r="A166" t="str">
            <v>R-VAR-0154</v>
          </cell>
          <cell r="C166" t="str">
            <v>BLDG AB L05 A.598-2 PLANTROOM ADAPTATIONS</v>
          </cell>
          <cell r="U166">
            <v>1</v>
          </cell>
          <cell r="AJ166"/>
        </row>
        <row r="167">
          <cell r="A167" t="str">
            <v>R-VAR-0155</v>
          </cell>
          <cell r="C167" t="str">
            <v>CONCORDIA GUIDING STRIPES</v>
          </cell>
          <cell r="U167">
            <v>1</v>
          </cell>
          <cell r="AJ167"/>
        </row>
        <row r="168">
          <cell r="A168" t="str">
            <v>R-VAR-0156</v>
          </cell>
          <cell r="C168" t="str">
            <v>Heritage Furniture Modifications</v>
          </cell>
          <cell r="U168" t="str">
            <v/>
          </cell>
          <cell r="AJ168" t="str">
            <v>INCLUDED IN VAR 40</v>
          </cell>
        </row>
        <row r="169">
          <cell r="A169" t="str">
            <v>R-VAR-0157</v>
          </cell>
          <cell r="C169" t="str">
            <v>Fire Detection Build E</v>
          </cell>
          <cell r="U169">
            <v>2</v>
          </cell>
          <cell r="AJ169"/>
        </row>
        <row r="170">
          <cell r="A170" t="str">
            <v>R-VAR-0158</v>
          </cell>
          <cell r="C170" t="str">
            <v>BLDG AB - STAIRCASE 17 TECHNICAL CHANGES (L04 AND L05)</v>
          </cell>
          <cell r="U170">
            <v>1</v>
          </cell>
          <cell r="AJ170"/>
        </row>
        <row r="171">
          <cell r="A171" t="str">
            <v>R-VAR-0159</v>
          </cell>
          <cell r="C171" t="str">
            <v>ALL BUILDINGS - CEILING PAINT</v>
          </cell>
          <cell r="U171">
            <v>4</v>
          </cell>
          <cell r="AJ171" t="str">
            <v>to review Step 2. Step 2 has a room by room information in Excel and tutorial for Dalux. SOMBP and SHP to agree proposal to confirm scope and extent  - survey in Dalux. SOMBP/G&amp;T has done an check and agree on major of scope with some exceptions tbd, will follow a feedback to RPN TD: 30/03/23. SOMBP to go on site with RPN and finalize the scope/quantities. 2 timeslots proposed by SOMBP to RPN (23.05 and 25.05). Patrick F to confirm per Morgan email on 24.05. Agreed to close the variation any further detachment will be trated in new variations (before rfi/survey on site). G&amp;T sent Step 3&amp;4 cost on 01.06. 
cost agreed on 28.06. SHP to issue Step 3&amp;4. sent for signature on 05.07.</v>
          </cell>
        </row>
        <row r="172">
          <cell r="A172" t="str">
            <v>R-VAR-0160</v>
          </cell>
          <cell r="C172" t="str">
            <v>TIME IMPACT FOR COVID 19 ON HISTORICAL BUILDINGS</v>
          </cell>
          <cell r="U172" t="str">
            <v>NA</v>
          </cell>
          <cell r="AJ172" t="str">
            <v>G&amp;T sent Step 3 assessment on 12.04, and on 07.06 to SHP. SHP reviewed on 27.07. Alex issues Step 3 cost to RPN on 03.07. RPN asked clarifications meeting on Friday 14.07. RPN STILL WAITING FOR SHP AVAILABILITY  TO DISCUSS FOR STEP4 AGREEMENT.  SHP to issue Step 3. Sent on signature on 05.09 cost agreed on 14.09. SHP to issue Step 4. Sent for signature on 06.10.</v>
          </cell>
        </row>
        <row r="173">
          <cell r="A173" t="str">
            <v>R-VAR-0161</v>
          </cell>
          <cell r="C173" t="str">
            <v>BDLG S1 L3&amp;L4 - BANQUETTE MODIFICATION</v>
          </cell>
          <cell r="U173">
            <v>1</v>
          </cell>
          <cell r="AJ173"/>
        </row>
        <row r="174">
          <cell r="A174" t="str">
            <v>R-VAR-0162</v>
          </cell>
          <cell r="C174" t="str">
            <v>ENTRANCE S1 AND S2 FLOOR FINISHES</v>
          </cell>
          <cell r="U174" t="str">
            <v>NA</v>
          </cell>
          <cell r="AJ174"/>
        </row>
        <row r="175">
          <cell r="A175" t="str">
            <v>R-VAR-0163</v>
          </cell>
          <cell r="C175" t="str">
            <v>UNTV WORKSHOP CEILING AMENDMENT</v>
          </cell>
          <cell r="U175">
            <v>2</v>
          </cell>
          <cell r="AJ175"/>
        </row>
        <row r="176">
          <cell r="A176" t="str">
            <v>R-VAR-0164</v>
          </cell>
          <cell r="C176" t="str">
            <v>Move budget</v>
          </cell>
          <cell r="U176">
            <v>5</v>
          </cell>
          <cell r="AJ176" t="str">
            <v>Per meeting on 23.09 - this var will be for Motta move. Prov quants will be wrapped up at the end of the project in new variation. SHP to finalise prov quantities for motta move for Step 1 - done on 10.10. Zeynep added furniture descope on 16.10. G&amp;T costed on 16.10. SHP to issue. Sent on signature on 24.10.
RPN didn't issue Step 2.
SHP issued Step 3. RPN issued commercial proposal on 28.11. G&amp;T assessed on 09.12. RPN replied on 09.12. G&amp;T requested Pelichet moves rates on 09.12. RPN provided on 09.12. G&amp;T cost AGREED on 17.12. G&amp;T sent final cost files to SHP on 18.12. SHP to issue. Snet on signature on 20.12.
20.02. G&amp;T sent revised quantities to RPN to confirm. RPN replied on 24.02. G&amp;T cost AGREED on 24.02. G&amp;T sent to SHP on 25.02. SHP to issue. Sent on signature on 07.03.</v>
          </cell>
        </row>
        <row r="177">
          <cell r="A177" t="str">
            <v>R-VAR-0165</v>
          </cell>
          <cell r="C177" t="str">
            <v>S1 - CEILING REPAIR WORKS</v>
          </cell>
          <cell r="U177">
            <v>4</v>
          </cell>
          <cell r="AJ177" t="str">
            <v>to review Step 2. Step 2 has a room by room information in Excel and tutorial for Dalux. SOMBP and SHP to agree proposal to confirm scope and extent  - survey in Dalux. 2 timeslots proposed by SOMBP to RPN (23.05 and 25.05).  cost agreed on 28.06. G&amp;T replied to Alex question from 03.07.  Patrick F to provide to Alex cost details. Sent on signature on 24.07. Will take longer to sign as this one is being handled by PTS.</v>
          </cell>
        </row>
        <row r="178">
          <cell r="A178" t="str">
            <v>R-VAR-0166</v>
          </cell>
          <cell r="C178" t="str">
            <v>BLDG S1 L1 DG GLAZED PARTITION, CEILING, WINDOW CHANGES</v>
          </cell>
          <cell r="U178">
            <v>1</v>
          </cell>
          <cell r="AJ178"/>
        </row>
        <row r="179">
          <cell r="A179" t="str">
            <v>R-VAR-0167</v>
          </cell>
          <cell r="C179" t="str">
            <v>UPPER WINDOW MOTORIZATION</v>
          </cell>
          <cell r="U179">
            <v>4</v>
          </cell>
          <cell r="AJ179" t="str">
            <v>RPN to issue step 2. RFI-950-A was responded by SOM/B+P on 18.01. RPN to issue per contract, BMS could be considered for separate variation if needed - 22.02.23. If blinds should be included? &gt; SOM/B+P is not aware of any scope issue, meeting needed. G&amp;T send assessment on 08.03. A meeting with Eggtelsa was 14/03. next one on 28/03 to attend also Aecom/SHP for scope clarification. After Scope clarification (elect) RPN has sent step2 revised 13/04 - please note that the the scope is still to be defined (arch)  and global implementation of the works is blocked. SOMBP/AECOM to review Step 2 rev 1 scope. G&amp;T to issue Step 3 cost. Meeting with RPN and Egg-Telsa to be scheduled in week of  02.06. to discuss GT / SOMBP / AECOM Step 2 assessment. Meeting on 02/06 . INS 268 to clarify box issue. RPN and G&amp;T to review Step 3 cost. INS 268 issued on 27.06. RPN to check feasibility on site of arch proposal and then to revise cost. RPN issued electrical RFI 1136. SOMBP to respond. Additional issue from RPN - no place for control panels. 1. RPN/Viola to provided details for uplift cost between 230V and 24V motor. 2. SOMBP/Bob to update INS to indicate control locations, that building A is to be individually controlles and the BMS connection is not required, at least for now. 3. SHP/Patrick to issue item 2. 4. RPN to confirm with egg that individual controls for Sections other than A are included in the contract. 5 RPN to review the rational for the additional frame costs. SOMBP/Dominic also to seek more info on the scope. SOMBP sent revised Step 1 with descoped Section A on 17.10 to G&amp;T for costing. G&amp;T revised cost files accordingly on 6.11. Revision issued as INS 326 on 7.11. G&amp;T cost file issued for determination 05/12. Updated G&amp;T cost assessment not received yet by RPN. Following RPN answare to INS 326, RPN is waiting for revised step 1 to VAR 167, to clarify the scope of the variation and issue the step 2 - RPN to revise cost per INS 326 that includes pricing doc. RPN ossied cost for only Section C on 11.03. G&amp;T requested additional info from EggTelsa on 02.04 - RPN responded on 22.05. G&amp;T reviewed on 30.05. G&amp;T sent determination cost on 20.06. SHP to issue. Sent on signature on 21.06.
G&amp;T/Clare found an error on 06.11.2024. G&amp;T sent cost update to RPN on 06.11. RPN cost agreed to DETERMINE on 21.03. G&amp;T sent final cost file to SHP on 25.03. SHP to issue. Sent on signature on 02.04.</v>
          </cell>
        </row>
        <row r="180">
          <cell r="A180" t="str">
            <v>R-VAR-0168</v>
          </cell>
          <cell r="C180" t="str">
            <v>BLDG C - UNTV CAR COOLING</v>
          </cell>
          <cell r="U180">
            <v>4</v>
          </cell>
          <cell r="AJ180"/>
        </row>
        <row r="181">
          <cell r="A181" t="str">
            <v>R-VAR-0169</v>
          </cell>
          <cell r="C181" t="str">
            <v>BLDG B SCOPE REDUCTION (PMI042)</v>
          </cell>
          <cell r="U181">
            <v>3</v>
          </cell>
          <cell r="AJ181" t="str">
            <v>SOMBP sent Step 1 to G&amp;T and SHP. G&amp;T’s scope was included under SOM/B+P Contract for PMI 42. Samuel sent directions on 21.06 and 05.07. SOMBP to revise Step 1. Draft sent to SHP on 07.07. G&amp;T issued cost files. SOMBP uploaded in PMWeb on 26.09. SHP to issue. G&amp;T issued expedited cost file on 02.10. Sent for signature on 04/10. RPN not issued Step 2. SHP issued Step 3. RPN issued cost proposal on 18.06. First SOMBP commented scope per Calum email from 21.06 on 01.07.  G&amp;T assessed on 10.07. RPN responded on 31.07.  SOMBP provided scope comments on 12.08. Scope meeting held on 12.08 with no RPN. G&amp;T reviewed with Sam/Andrea comments on 23.08. Meeting on 03.10. G&amp;T sent revision on 07.10. RPN responded on 08.10. G&amp;T asked clarification on 11.10. Cost AGREED on 28.10. SHP to issue. Sent for signature on 31.10.</v>
          </cell>
        </row>
        <row r="182">
          <cell r="A182" t="str">
            <v>R-VAR-0170</v>
          </cell>
          <cell r="C182" t="str">
            <v>NEW DOOR FOR SALON TCHEQUE ET SLOVAQUE</v>
          </cell>
          <cell r="U182">
            <v>3</v>
          </cell>
          <cell r="AJ182"/>
        </row>
        <row r="183">
          <cell r="A183" t="str">
            <v>R-VAR-0171</v>
          </cell>
          <cell r="C183" t="str">
            <v>SMARTLOCKER RELOCATION ENTRANCE S2 AND MULTISENSORY TABLE C6</v>
          </cell>
          <cell r="U183">
            <v>5</v>
          </cell>
          <cell r="AJ183"/>
        </row>
        <row r="184">
          <cell r="A184" t="str">
            <v>R-VAR-0172</v>
          </cell>
          <cell r="C184" t="str">
            <v>BLDG AC L00 IT WORKSHOP FLOOR FINISHES</v>
          </cell>
          <cell r="U184">
            <v>1</v>
          </cell>
          <cell r="AJ184"/>
        </row>
        <row r="185">
          <cell r="A185" t="str">
            <v>R-VAR-0173</v>
          </cell>
          <cell r="C185" t="str">
            <v>OVERALL BROADCAST (BROADCAST, LIGHTING AND SERVICES INCLUDED)</v>
          </cell>
          <cell r="U185">
            <v>3</v>
          </cell>
          <cell r="AJ185" t="str">
            <v>drafting Step 1. JMG feedback recieved - RPN redrafted step 1. RPN sent a revised BoQ 14.03. SHP sent updated excel to G&amp;T. SHP drafted Step 1 (Cedric checked). G&amp;T cost issued 26/05. Patrick V - cost is ok. Alex - IntF ok. Sent on signature on 14.06. RPN to issue Step 2. SHP to confirm RPN proposal from 22.06.2023 - was clarified in june 2023 tech meeting, confirmation sent by Cedric K on 25.09. SHP to issue Step 3. Sent for signature on 13.10. G&amp;T reviewed Step 2 cost on 13.10. RPN responded on 2.11. Cost agreed on 17.11. SHP to issue. Patrick F - ok. Alex to add about cost difference. 
RPN to provide revised BOQ for broadcat.
RPN to submit ELEC RFI &amp; drawings for review, SHP/SOMBP to check and update VAR accordingly.
16.07: SHP to revise step 4 (see email 16.07)</v>
          </cell>
        </row>
        <row r="186">
          <cell r="A186" t="str">
            <v>R-VAR-0174</v>
          </cell>
          <cell r="C186" t="str">
            <v>Air Conditioning for the New Video Projection Rooms and Technical Rooms L05</v>
          </cell>
          <cell r="U186">
            <v>3</v>
          </cell>
          <cell r="AJ186" t="str">
            <v>Step 1 rev 1 issued. MEP part will be added in Step 1 rev 2. As  per the technical meeting, mechanical works are missing in the step1 revised. Youssef issued Step 1 Rev 2. G&amp;T made Step 1 Rev 2 costing on 07.06. SHP to issue Step 1 Rev 2 - Youssef corrected cost. G&amp;T updated the cost per comments on 16.06. Youssef ok. RPN to issue Step 2 based on Step 1 rev 2. Snet on signature on 20.06. RPN to issue Step 2 - BEFORE SHP TO REPLY TO TECH QUERIES FROM PXT. RPN - 1. to issue drawings for acoustic, 2 to provide cost clarification from subcontractor by 11.08 (RPN SENT THEM ON 10.08). SHP to reply Karim about glass by 11.08. RPN/SHP sent drawings to G&amp;T on 24.08. G&amp;T issued cost revision on 30.08. RPN responded on 08.09. G&amp;T responded on 11.09 with agreed cost during meeting and added rack. RPN to agree. SHP to issue Step 3. Sent on signature on 05.09. RPN replied on 11.09. EoT not agreed. G&amp;T replied on 12.09. RPN agreed cost on 12.09. SHP to issue Step 4. Sent on signature on 14.09</v>
          </cell>
        </row>
        <row r="187">
          <cell r="A187" t="str">
            <v>R-VAR-0175</v>
          </cell>
          <cell r="C187" t="str">
            <v>RAINWATER DRAINAGE CAR PARK P3</v>
          </cell>
          <cell r="U187">
            <v>4</v>
          </cell>
          <cell r="AJ187" t="str">
            <v>to issue Step 2. SHP to issue Step 3. RPN to issue cost proposal.  G&amp;T determination cost sent on 22.01. SHP to issue determination. Sent for signature on 26.01.</v>
          </cell>
        </row>
        <row r="188">
          <cell r="A188" t="str">
            <v>R-VAR-0176</v>
          </cell>
          <cell r="C188" t="str">
            <v>Recovery of Energy Consumption</v>
          </cell>
          <cell r="U188" t="str">
            <v>NA</v>
          </cell>
          <cell r="AJ188" t="str">
            <v>G&amp;T Step 3 provided with utility provider rates on 21/12. G&amp;T re-issued on 24/02. SHP issued Step 3. Alex sent to RPN on 22.11. G&amp;T sent to SHP final cost DETERMINATION on 22.03. SHP to issue. Sent on signature on 27.03.
on 12.02.2025 Alex/SHP initiated revision of Step 4. SHP to issue. Sent on signature on 17.02.
SHP/Alex requested Step 4 revision due to AGREEMENT on 30.04.2025. SHP to issue. Sent on signature on 16.05.</v>
          </cell>
        </row>
        <row r="189">
          <cell r="A189" t="str">
            <v>R-VAR-0177</v>
          </cell>
          <cell r="C189" t="str">
            <v>BLDG S1 LB1 CORRIDOR CHANGES</v>
          </cell>
          <cell r="U189">
            <v>1</v>
          </cell>
          <cell r="AJ189"/>
        </row>
        <row r="190">
          <cell r="A190" t="str">
            <v>R-VAR-0178</v>
          </cell>
          <cell r="C190" t="str">
            <v>BLDG D L0 HYBRID OFFICE LIGHT FIXTURES</v>
          </cell>
          <cell r="U190">
            <v>1</v>
          </cell>
          <cell r="AJ190"/>
        </row>
        <row r="191">
          <cell r="A191" t="str">
            <v>R-VAR-0179</v>
          </cell>
          <cell r="C191" t="str">
            <v>BDLG C CORRIDORS AND OFFICES CEILING CHANGES</v>
          </cell>
          <cell r="U191">
            <v>1</v>
          </cell>
          <cell r="AJ191" t="str">
            <v>to review Step 2. SHP issued INS 253 to include  RFI-1014 responce on 24.05. RPN sent supporting documents. Cost AGREED ON 08.08, cost files sent to SHP on 10.08. G&amp;T cleared Alex comments from 14.08 on 15.08. Sent for signature on 16.08.</v>
          </cell>
        </row>
        <row r="192">
          <cell r="A192" t="str">
            <v>R-VAR-0180</v>
          </cell>
          <cell r="C192" t="str">
            <v>BDLG C LB2 PLANTROOM C.0014</v>
          </cell>
          <cell r="U192">
            <v>1</v>
          </cell>
          <cell r="AJ192" t="str">
            <v>SOMBP drafted a scope revision on 20.02. G&amp;T costed on 23.02. SOMBP has comments to cost. SOMBP agjusted Step 1 on 07.03, G&amp;T revised cost on 08.03. SHP to issue Step 3 rev 1. RPN sent cost proposal on 28.03. G&amp;T assessed on 11.04. RPN reviewed on 11.04. G&amp;T responded on 11.04. RPN replied on 17.04. G&amp;T cost AGREED on 22.04. RPN first upload the data sheet for fire damper to PMWeb. A minor cost revision sent by RPN on 15.05 and 04.06. G&amp;T issued final cost file to SHP on 06.06. SHP to issue. Sent on signature on 10.06.
G&amp;T revised cost per Amendment 7 and Patrick F email from 30.10.2024. on 31.10. SHP to issue. Cost updated on 14.11.</v>
          </cell>
        </row>
        <row r="193">
          <cell r="A193" t="str">
            <v>R-VAR-0181</v>
          </cell>
          <cell r="C193" t="str">
            <v>BLDG A RELOCATION FCU-03-CH A3F9.01</v>
          </cell>
          <cell r="U193">
            <v>3</v>
          </cell>
          <cell r="AJ193"/>
        </row>
        <row r="194">
          <cell r="A194" t="str">
            <v>R-VAR-0182</v>
          </cell>
          <cell r="C194" t="str">
            <v>BDLG S1 DRIVER LOUNGE AIR EXTRACTION INSTALLATION</v>
          </cell>
          <cell r="U194">
            <v>1</v>
          </cell>
          <cell r="AJ194" t="str">
            <v>G&amp;T revised the cost per Amendment 7 and Patrick F email from 30.10.2024. on 31.10. SHP to issue.</v>
          </cell>
        </row>
        <row r="195">
          <cell r="A195" t="str">
            <v>R-VAR-0183</v>
          </cell>
          <cell r="C195" t="str">
            <v>BLDG S1 VOLT DROP</v>
          </cell>
          <cell r="U195">
            <v>1</v>
          </cell>
          <cell r="AJ195" t="str">
            <v>G&amp;T revised cost file per Amendment 7 and Patrick F email from 30.10.2024. on 31.10. SHP to issue.</v>
          </cell>
        </row>
        <row r="196">
          <cell r="A196" t="str">
            <v>R-VAR-0184</v>
          </cell>
          <cell r="C196" t="str">
            <v>BLDG AC L00 FIRE RATED DOOR</v>
          </cell>
          <cell r="U196">
            <v>1</v>
          </cell>
          <cell r="AJ196"/>
        </row>
        <row r="197">
          <cell r="A197" t="str">
            <v>R-VAR-0185</v>
          </cell>
          <cell r="C197" t="str">
            <v>BLDG D WORKSHOP VENTILATION (ON HOLD)</v>
          </cell>
          <cell r="U197">
            <v>5</v>
          </cell>
          <cell r="AJ197" t="str">
            <v>SHP to respond to SOM/B+P options proposal. Work not linked to SC. SHP to draft DPC - awaits G&amp;T costing. DPC is on G&amp;T costing.</v>
          </cell>
        </row>
        <row r="198">
          <cell r="A198" t="str">
            <v>R-VAR-0186</v>
          </cell>
          <cell r="C198" t="str">
            <v>ROOM NAMING</v>
          </cell>
          <cell r="U198">
            <v>4</v>
          </cell>
          <cell r="AJ198" t="str">
            <v>G&amp;T to review step 2. G&amp;T step 3 issued to RPN on 12.04.2023. RPN to review - Step 2 contains only concordia. Awaiting Egtelsa responce. RPN will send the quotation on 18.08 and  to have the meeting if needed. RPN shared cost on 14.09. SHP to issue Step 3. Sent on signature on 11.09. RPN to check on site naming. SHP check UN naming policy. RPN to check with EggTelsa per INS 21. G&amp;T to determine per Patrick's email on 28.11. RPN provided to Patrick different scenarios to come to an agreement for this variation: still under discussion between RPN and SHP. Patrick F sent to G&amp;T final agreed % to finalise var - on 6.12. G&amp;T issued Step 1 on 11.12. SHP to issue Step 4.
On 02.12.2024 RPN reported that 15 room names are missing for Section B.</v>
          </cell>
        </row>
        <row r="199">
          <cell r="A199" t="str">
            <v>R-VAR-0187</v>
          </cell>
          <cell r="C199" t="str">
            <v>SALLE XII FLOOR LEVEL INCREASE</v>
          </cell>
          <cell r="U199" t="str">
            <v/>
          </cell>
          <cell r="AJ199"/>
        </row>
        <row r="200">
          <cell r="A200" t="str">
            <v>R-VAR-0188</v>
          </cell>
          <cell r="C200" t="str">
            <v>DAYWORK</v>
          </cell>
          <cell r="U200">
            <v>5</v>
          </cell>
          <cell r="AJ200" t="str">
            <v>G&amp;T provided comments on 24.11. RPN to provide documents. SHP to issue Step 3&amp;4. Step 4 revision 1 made by Alex on 09.07 to change cost allocation from risk pot to SHP contigency. SHP to issue Step 4 revision 1. Sent on signature on 12.07.</v>
          </cell>
        </row>
        <row r="201">
          <cell r="A201" t="str">
            <v>R-VAR-0189</v>
          </cell>
          <cell r="C201" t="str">
            <v>PHOTOLUMINESCENT EMERGENCY SIGNAGE</v>
          </cell>
          <cell r="U201">
            <v>2</v>
          </cell>
          <cell r="AJ201" t="str">
            <v>to reply G&amp;T comments. 19.01.23 Reply from RPN. G&amp;T issued step 3 comments 31/01. RPN to resend the reply - issue on light installation - 07/07. Meeting done and email sent in discussion between G&amp;T - to reply 29.08.  SHP to issue Step 3. Sent on signature on 06.09. RPN to make summary for related variations on light issue. SHP and G&amp;T made a decision on 27.09. G&amp;T to review the cost accordingly and determine. Prior to determination, scope of additional Luminaire quantities to be defined. 06/12/23: agreed by RPN, waiting for final scope definition RPN sent cost on 7.12. RPN first to send mark-up showing where the luminaires in the step 2 are located in buildings AC and D per email from Clare on 11.12 - RPN replied on 20.12. G&amp;T reviewed on 2.01.24. RPn responded on 29.01. Cost AGREED on 30.01. SHP to issue. Sent for signature on 06.02.</v>
          </cell>
        </row>
        <row r="202">
          <cell r="A202" t="str">
            <v>R-VAR-0190</v>
          </cell>
          <cell r="C202" t="str">
            <v>BLDG A WATER SERVICES MODIFICATION</v>
          </cell>
          <cell r="U202" t="str">
            <v>CLOSED</v>
          </cell>
          <cell r="AJ202"/>
        </row>
        <row r="203">
          <cell r="A203" t="str">
            <v>R-VAR-0191</v>
          </cell>
          <cell r="C203" t="str">
            <v>BLDG AC PLUMBING SUBSTATION A20 MODIFICATION</v>
          </cell>
          <cell r="U203">
            <v>1</v>
          </cell>
          <cell r="AJ203"/>
        </row>
        <row r="204">
          <cell r="A204" t="str">
            <v>R-VAR-0192</v>
          </cell>
          <cell r="C204" t="str">
            <v>BLDG AB UPS CABLES PATHWAY</v>
          </cell>
          <cell r="U204">
            <v>2</v>
          </cell>
          <cell r="AJ204"/>
        </row>
        <row r="205">
          <cell r="A205" t="str">
            <v>R-VAR-0193</v>
          </cell>
          <cell r="C205" t="str">
            <v>BLDG A/AB TOILET CEILING CHANGES</v>
          </cell>
          <cell r="U205">
            <v>3</v>
          </cell>
          <cell r="AJ205" t="str">
            <v>issue on light installation tbd. &gt; Waterpipe pathway has been changed by RPN from contractual design. SOMBP will not issue any INS or VAR for knock-on effects on ceilings. SOMBP to confirm if proposed ceiling solution in showers is acceptable. SOMBP doesn't see a change.  G&amp;T issued cost to RPN on 07.09. RPN to respond. SHP to issue Step 3. Sent on signature on 19.09. G&amp;T to determine.  Prior to determination, scope to be clarified for amount of demolition in female WC's, requirement for additional access hatches in L07 to be confirmed and number of additional lighting fixtures to be clarified. 06/12/23: agreed by RPN, waiting for final scope definition RPN sent cost on 7.12. G&amp;T reviewed on 13.12. RPN responded on 20.12. G&amp;T reviewed on 3.01. RPN responded on 29.01. Cost AGREED on 30.01. SHP to issue - G&amp;T to update cost files per Alex request. Sent for signature on 08.02.</v>
          </cell>
        </row>
        <row r="206">
          <cell r="A206" t="str">
            <v>R-VAR-0194</v>
          </cell>
          <cell r="C206" t="str">
            <v>BLDG S1 VOLT DROP - PART 2</v>
          </cell>
          <cell r="U206">
            <v>1</v>
          </cell>
          <cell r="AJ206" t="str">
            <v>RPN added to the cost of INS 223 into Step 4 rev cost and sent to SOMBP and G&amp;T for review. SOMBP and G&amp;T to review - G&amp;T sent revised cost on 28.02. RPN responded on 28.02. G&amp;T reviewed on 04.03. RPN responded on 04.03. G&amp;T responded on 11.03. RPN responded cost AGREED on 11.03. G&amp;T sent cost file to SHP on 13.03. SHP to issue. Sent on signature on 19.03.</v>
          </cell>
        </row>
        <row r="207">
          <cell r="A207" t="str">
            <v>R-VAR-0195</v>
          </cell>
          <cell r="C207" t="str">
            <v>BLDG D DOOR D9 ETAVIS PANEL</v>
          </cell>
          <cell r="U207">
            <v>1</v>
          </cell>
          <cell r="AJ207" t="str">
            <v>G&amp;T revised cost file per Amendment 7 and Patrick F email from 30.10.2024. on 31.10. SHP to issue.</v>
          </cell>
        </row>
        <row r="208">
          <cell r="A208" t="str">
            <v>R-VAR-0196</v>
          </cell>
          <cell r="C208" t="str">
            <v>BLDG AC LB2 - LIFT MACHINERY C.0034</v>
          </cell>
          <cell r="U208">
            <v>1</v>
          </cell>
          <cell r="AJ208"/>
        </row>
        <row r="209">
          <cell r="A209" t="str">
            <v>R-VAR-0197</v>
          </cell>
          <cell r="C209" t="str">
            <v>BLDG C AND S1 FIRE PROTECTION OF UNFORESEEN STEEL ELEMENTS</v>
          </cell>
          <cell r="U209" t="str">
            <v>DONE</v>
          </cell>
          <cell r="AJ209"/>
        </row>
        <row r="210">
          <cell r="A210" t="str">
            <v>R-VAR-0198</v>
          </cell>
          <cell r="C210" t="str">
            <v xml:space="preserve">BLDG AC/AB - A.51 &amp; A.173 FIRE-RATING </v>
          </cell>
          <cell r="U210" t="str">
            <v/>
          </cell>
          <cell r="AJ210" t="str">
            <v>Variation cancelled as no door change needed to SIG rooms.</v>
          </cell>
        </row>
        <row r="211">
          <cell r="A211" t="str">
            <v>R-VAR-0199</v>
          </cell>
          <cell r="C211" t="str">
            <v>SALLE XII LIGHTING</v>
          </cell>
          <cell r="U211">
            <v>1</v>
          </cell>
          <cell r="AJ211" t="str">
            <v>to review Step 2. G&amp;T Step 3 issued 09/03. Moegann explained to G&amp;T lighting idea - updated those luminaires as they solved the need to create a bespoke encasing. We were hoping this would be an easier and quicker solution. G&amp;T to allign the cost with RPN and SOMBP - meeting on 13.04. SOMBP revised the scope - issued an Instruction 228 to revise Step 1 on 05.05. G&amp;T issued comments. RPN responded on 02.06. SHP sent scaffolding time on 16.06. EoT agreed on 16.06. G&amp;T sent final cost to RPN on 27.06. RPN has replied 28/06. cost agreed on 19.07. Sent on signature on 24.07.</v>
          </cell>
        </row>
        <row r="212">
          <cell r="A212" t="str">
            <v>R-VAR-0200</v>
          </cell>
          <cell r="C212" t="str">
            <v>AV PENDING ITEMS SALLE XI-XII-XVI</v>
          </cell>
          <cell r="U212">
            <v>2</v>
          </cell>
          <cell r="AJ212" t="str">
            <v>to check step 2 cost. G&amp;T to organise a meeting about cost with RPN. G&amp;T issue cost on 03.08, 22.08. RPN replied on 11.09. G&amp;T to agree the cost. Cost agreed on 13.09. SHP to issue Step 3&amp;4. Sent on signature on 19.09.
RPN sent revised quantities for Salle XVI on 05.06. Wait for Bldg AB SC to close entirely. In paralel G&amp;T to check this scope. WIll be new var.</v>
          </cell>
        </row>
        <row r="213">
          <cell r="A213" t="str">
            <v>R-VAR-0201</v>
          </cell>
          <cell r="C213" t="str">
            <v>FLS CHANGES IN GLAZED TUNNEL L1 BLDG AC</v>
          </cell>
          <cell r="U213">
            <v>1</v>
          </cell>
          <cell r="AJ213"/>
        </row>
        <row r="214">
          <cell r="A214" t="str">
            <v>R-VAR-0202</v>
          </cell>
          <cell r="C214" t="str">
            <v>SMARTLOCKER RELOCATION ENTRANCE S2</v>
          </cell>
          <cell r="U214">
            <v>2</v>
          </cell>
          <cell r="AJ214" t="str">
            <v>cost agreed on 20.06. SHP to issue Step 3&amp;4. RPN to review TIA from Bidane from 21.06. EoT agreed on 22.06. Sent for signature on 23.06.</v>
          </cell>
        </row>
        <row r="215">
          <cell r="A215" t="str">
            <v>R-VAR-0203</v>
          </cell>
          <cell r="C215" t="str">
            <v>ROOM BOOKING SYSTEM DESCOPE</v>
          </cell>
          <cell r="U215" t="str">
            <v>CLOSED</v>
          </cell>
          <cell r="AJ215"/>
        </row>
        <row r="216">
          <cell r="A216" t="str">
            <v>R-VAR-0204</v>
          </cell>
          <cell r="C216" t="str">
            <v>ADDITIONAL FIRE DOORS IN BLDG AC</v>
          </cell>
          <cell r="U216">
            <v>4</v>
          </cell>
          <cell r="AJ216" t="str">
            <v>SOMBP drafted a scope revision on 19.02. TIA agreed (EoT granted with VAR 207). G&amp;T costed on 03.04. SOMBP uploaded on 09.04. SHP issued Step 3 Rev 1. RPN reviseed the cost on 23.05. G&amp;T reviewed on 19.06. Cost AGREED on 20.06. SHP to issue. Sent on signature on 25.06. G&amp;T revised cost file Step 4 Rev 2 on 23.07. SHP to issue. Sent on signature on 23.07.</v>
          </cell>
        </row>
        <row r="217">
          <cell r="A217" t="str">
            <v>R-VAR-0205</v>
          </cell>
          <cell r="C217" t="str">
            <v>SALLE IV HEATING AND COOLING</v>
          </cell>
          <cell r="U217">
            <v>3</v>
          </cell>
          <cell r="AJ217" t="str">
            <v>G&amp;T answers forwarded to SHP on 16.05.2023. SHP to issue Step 1 - Youssef to review - Youssef has cost comments on 19.07. Alex advised to safe Youssef comments for Step 2. Sent on signature on 28.07. Pending explanation for David - Patrick F replied to David on 15.08. David to sign.  RPN issued Step 2 on 02/11/23 G&amp;T Step 3 issued 20/11/23. RPN replied on 22.11. G&amp;T responded on 4.12.  SHP issued Step 3. SOMBP to check scope per Clare email on 4.12. RPN responded to G&amp;T costing on 5.12. G&amp;T AGREED the cost. G&amp;T issued final cost file to SHP on 7.12. SHP to issue Step 4. Sent for signature on 15.12.</v>
          </cell>
        </row>
        <row r="218">
          <cell r="A218" t="str">
            <v>R-VAR-0206</v>
          </cell>
          <cell r="C218" t="str">
            <v>PRESS ROOM BACKWALL LIGHTING</v>
          </cell>
          <cell r="U218" t="str">
            <v/>
          </cell>
          <cell r="AJ218" t="str">
            <v>cancelled. Not needed for SC. Not is SHP scope.</v>
          </cell>
        </row>
        <row r="219">
          <cell r="A219" t="str">
            <v>R-VAR-0207</v>
          </cell>
          <cell r="C219" t="str">
            <v>EMERGENCY EVACUATION BUTTON ENTRANCES A11 AND C21</v>
          </cell>
          <cell r="U219">
            <v>1</v>
          </cell>
          <cell r="AJ219"/>
        </row>
        <row r="220">
          <cell r="A220" t="str">
            <v>R-VAR-0208</v>
          </cell>
          <cell r="C220" t="str">
            <v>PRESS ROOM EXTERIOR DOOR CURTAIN</v>
          </cell>
          <cell r="U220" t="str">
            <v/>
          </cell>
          <cell r="AJ220" t="str">
            <v>Cancelled until we assess the full impact (i.e. replacement of fabric on the chairs) of increasing the occupancy of the press room to be above 100 people</v>
          </cell>
        </row>
        <row r="221">
          <cell r="A221" t="str">
            <v>R-VAR-0209</v>
          </cell>
          <cell r="C221" t="str">
            <v>EMERGENCY SIGNAGE AND LIGHTING UPDATE A / S1 / S2</v>
          </cell>
          <cell r="U221">
            <v>3</v>
          </cell>
          <cell r="AJ221" t="str">
            <v>to issue Step 1. Alex - ok. Samuel - ok, Max - ok. Replace some signage to photoluminicsent, not electrical to reduce the cost - Lucile. Sam sent it to check with SSS on 02.05. Patrick Fowler has confirmed on 11.05. that VAR should be issued without further scope changes. Sent for signature on 06.06. RPN to issue Step 2. SOMBP issued INS 282 to revise Step 1 on 28.06. SHP issued an INS 282 on 05.07. G&amp;T issue updated cost files  for INS 282 on 07.07.  SOM/B+P have responded to RFI-1139-A on 27.07.2023. SOMBP not aware of any further questions. RPN to issue Step 2 by 16.08. SHP to issue Step 3. Sent for signature on 26.10. G&amp;T sent Step 3 on 26.09. SOMBP agreed scopr with EggTelsa on 24.11 - SOMBP issued an INS 350 on 30.11 to SHP. SHP issued INS 350 on 4.12. RPN to review the cost. 30.11 meeting - SOMBP to organise a workshop for 3 related variations to finalise drawings. Meeting held on 5.12. 5 drawings to resubmit. RPN replied on 11.12 - erroneous.  SOMBP issued Instruction 350 Rev 1 on 18.12. SHP issued INS 350 rev 1 on 19.12. RPN to review the cost. SOMBP to check/adjust AA quantities in INS 350 Revision 2 - for that RPN/EggTelsa to send the draft plans for the levels needed to conclude for Building A. RPN sent cost update on 29.01. G&amp;T reviewed on 31.01. RPN responded on 15.02. G&amp;T sent cost update on 01.03. RPN responded on 03.04. RPN to first provide a key plan showing all areas with additional painting and Ecophon tiles - photos sent on 10.04. SOMBP checked the scope increase per email from Clare from 16.04 on 22.04. G&amp;T sent DETERMINATION to SHP on 21.06. Shailesh oked EoT on 25.06. SHP to issue. Sent on signature on 26.06.
G&amp;T to revise cost file per Amendment 7 Patrick F email from 30.10. SHP to issue.</v>
          </cell>
        </row>
        <row r="222">
          <cell r="A222" t="str">
            <v>R-VAR-0210</v>
          </cell>
          <cell r="C222" t="str">
            <v>BLDG S1 NODE 3 AND 4 CEILING CHANGES</v>
          </cell>
          <cell r="U222">
            <v>1</v>
          </cell>
          <cell r="AJ222" t="str">
            <v>G&amp;T updated cost file per Amendment 7 and Patrick F email from 30.10.2024. on 31.10. SHP to issue.</v>
          </cell>
        </row>
        <row r="223">
          <cell r="A223" t="str">
            <v>R-VAR-0211</v>
          </cell>
          <cell r="C223" t="str">
            <v>BLDG D CLOCK POSITIONS</v>
          </cell>
          <cell r="U223">
            <v>1</v>
          </cell>
          <cell r="AJ223"/>
        </row>
        <row r="224">
          <cell r="A224" t="str">
            <v>R-VAR-0212</v>
          </cell>
          <cell r="C224" t="str">
            <v>ADDITIONAL TRANSFORMER MLDB_D</v>
          </cell>
          <cell r="U224">
            <v>4</v>
          </cell>
          <cell r="AJ224" t="str">
            <v>SHP issued PMI 60 to PTS on 25.04. PO for MPI 60 signed on 10.08. Not linked to SC. SOMBP sent Step 1 draft to SHP on 22.12. Cinzia oked on 09.01. Rosana provided comments on 23.01. SOMBP uploaded with no cost on 12.06. Sam commented on 13.06. Rosana commented on 14.06. SOMBP replied on 18.06. Antonella provided BS comments on 18.07. SOMBP updated scope on 06.08. SHP/Rosana oked scope on 06.08. SOMBP sent  Step 1 for costing on 06.08. G&amp;T costed on 03.09. SOMBP provided cost comments to G&amp;T on 16.09. G&amp;T revised the cost after meeting on 03.10. SOMBP uploaded 14.10. SHP to issue.
RPN didn't issue Step 2.
SHP issued Step 3. RPN to issue commercial proposal done on 29.08.2025. SOMBP provided cost comments to G&amp;T on 08.10. G&amp;T assessed cost on 20.10. RPN/LOB sent ESTI admin cost on 20.01.2026, SHP/PAF replied that it's RPN risks not for SHP to pay. RPN responded to G&amp;T on 19.02. G&amp;T to reply.</v>
          </cell>
        </row>
        <row r="225">
          <cell r="A225" t="str">
            <v>R-VAR-0213</v>
          </cell>
          <cell r="C225" t="str">
            <v>EMERGENCY LIGHTING UPDATES</v>
          </cell>
          <cell r="U225">
            <v>2</v>
          </cell>
          <cell r="AJ225" t="str">
            <v>to review Step 2. Meeting held 1 March 2023 with RPN/Egg Telsa - Contract Price does not include for the installation of light fittings - incorrect. G&amp;T relpied 07.03 - to be further discussed- 07.07. Meeting done and email sent in discussion between G&amp;T SHP to issue Step 3. Snet on siganture on 14.09. RPN to reply to G&amp;T cost proposal. Scope of out of sequence working, as agreed, needs to be defined.  06/12/23: agreed by RPN, waiting for final scope definition RPN revised cost on 14.12. G&amp;T to review. Patrick F commented on Clare's email from 14.12. Cost AGREED on 1.02.24. G&amp;T issued cost files to SHP on 11.01. SHP to issue. G&amp;T to add cost shift details. Sent on signature on 18.01.
G&amp;T to revise cost files per Amendment 7 Patrick F email from 30.10. SHP to issue.</v>
          </cell>
        </row>
        <row r="226">
          <cell r="A226" t="str">
            <v>R-VAR-0214</v>
          </cell>
          <cell r="C226" t="str">
            <v>INSTALLATION OF FCU-03-CH.A3.F9-01</v>
          </cell>
          <cell r="U226" t="str">
            <v/>
          </cell>
          <cell r="AJ226" t="str">
            <v>double of variation 181</v>
          </cell>
        </row>
        <row r="227">
          <cell r="A227" t="str">
            <v>R-VAR-0215</v>
          </cell>
          <cell r="C227" t="str">
            <v>BLDG AB L01 NEW MANHOLES FOR CRAWLSPACE</v>
          </cell>
          <cell r="U227">
            <v>2</v>
          </cell>
          <cell r="AJ227" t="str">
            <v>Technical clarification on going, RPN uploaded RFI996. INS 230 Rev 1 to revise var issued on 21.06. RPN to revise Step 2 accordingly. Cost agreed on 26.07. SHP to issue Step 3&amp;4.</v>
          </cell>
        </row>
        <row r="228">
          <cell r="A228" t="str">
            <v>R-VAR-0216</v>
          </cell>
          <cell r="C228" t="str">
            <v>PENDING ITEMS ASSEMBLY HALL</v>
          </cell>
          <cell r="U228">
            <v>3</v>
          </cell>
          <cell r="AJ228" t="str">
            <v>RPN sent list of changes to SHP (3P sent it to RPN in week 27-02-23) on 28/03. SOMBP to review tech drawinds (10x). PRN (3P) updated the var - excel table, including material, labor, overheads on 6.04.  RPN send 3P BOQ docs on 08.06. SHP checked 06.07, G&amp;T to organise a RPN/SHP meeting to clarify the cost. RPN sent an updated cost on 27.07. G&amp;T sent cost for revision to Patrick V on 10.08. Patrick V - oked cost. Darft Step 1 - Patrick V ok on 14.08. Sent for signature on 22.08. G&amp;T issued Step 3 on 29/09/2023. RPN issued step 3 rev. on 12/10/23. G&amp;T to reply. SHP issued Step 3. RPN issued step 3 revised for final agreement. Cost agreed on 26.10. SHP to issue Step 4. Sent for signature on 30.10.
RPN sent revised cost on 05.06. G&amp;T to check. WIll be new var.</v>
          </cell>
        </row>
        <row r="229">
          <cell r="A229" t="str">
            <v>R-VAR-0217</v>
          </cell>
          <cell r="C229" t="str">
            <v>COMPRESSED AIR PRODUCTION</v>
          </cell>
          <cell r="U229">
            <v>2</v>
          </cell>
          <cell r="AJ229" t="str">
            <v>G&amp;T to add RFI 1128 to Step 4 cost. G&amp;T revised cost on 29.08. G&amp;T agreed with RPN revised cost on 05.09.</v>
          </cell>
        </row>
        <row r="230">
          <cell r="A230" t="str">
            <v>R-VAR-0218</v>
          </cell>
          <cell r="C230" t="str">
            <v>CAFETERIA EQUIPMENT AND ADJACENT FURNITURE</v>
          </cell>
          <cell r="U230">
            <v>4</v>
          </cell>
          <cell r="AJ230" t="str">
            <v>to issue Step 2 - not issued. SHP to issue Step 3. Sent for signature on 9.11. 24.11 meeting - RPN didn't show up. 06/12/2023: following INS289 evaluation of this VAR in on hold because final layout of caffetteria (under redesign) will have impact on the relevant equipment and fornitures, specially on the utility connection arrangements. variation will be priced together with VAR026 - per commercial discussion on 6.12. 
SHP had a meeting with Shematec on 25.09 - hoods changed. Shematec sent updated docs on 03.10. SHP reissued Step 3 with hoods revision. Shematech sent highlighted revisions (no scope change) on 12.11. SHP issued Step 3 Rev 2. SHP issued Step 3 rev 3 with additional info based on belated request from RPN.
RPN to issue commercial proposal. SOMBP to revise pe PMI 101.</v>
          </cell>
        </row>
        <row r="231">
          <cell r="A231" t="str">
            <v>R-VAR-0219</v>
          </cell>
          <cell r="C231" t="str">
            <v>CLEANER SINK HEIGHT AND WALL TILING</v>
          </cell>
          <cell r="U231">
            <v>3</v>
          </cell>
          <cell r="AJ231" t="str">
            <v>discrepancies in the scope provided by SOM/BP and that provided by RPN. SOMBP provided revised cleaners closed plan locations on 17.04. RPN has quoted the scope requested. SOM/B+P issued INS 249 to SHP on 02.06. On 06.06 technical meeting it was highlighted that even the instruction is not giving clear instruction on how to proceed: SHP has agreed on this misalignment so it has been decided that RPN upload an RFI-1113 in order to receive the revised step1.  SOMBP to revise INS 249 per RFI 1113. INS 298 with 2 sinks issued on 08.09. G&amp;T sent cost on 17.11. RPN to reply. SHP - Zeynep to check if anything can be removed from cost. SHP issued Step 3. RPN sent revised cost on 17.01. SOMBP responded on Calum email on 23.01. G&amp;T reviewed on 29.01. COst AGREED on 30.01. G&amp;T sent cost files to SHP on 06.02. SHP to issue. Sent for signature on 13.02.</v>
          </cell>
        </row>
        <row r="232">
          <cell r="A232" t="str">
            <v>R-VAR-0220</v>
          </cell>
          <cell r="C232" t="str">
            <v>BLDGS AB &amp; C VOLT DROP</v>
          </cell>
          <cell r="U232">
            <v>4</v>
          </cell>
          <cell r="AJ232"/>
        </row>
        <row r="233">
          <cell r="A233" t="str">
            <v>R-VAR-0221</v>
          </cell>
          <cell r="C233" t="str">
            <v>EMERGENCY SIGNAGE AND LIGHTING UPDATE C</v>
          </cell>
          <cell r="U233">
            <v>1</v>
          </cell>
          <cell r="AJ233" t="str">
            <v>Step 1 sent to G&amp;T for costing on 18.04.23. G&amp;T issued cost files. SOMBP uploaded to PMWeb. SHP to issue Step 1. Alex - ok. Sam - sent to Didier on 4.05. Sam ok on 06.07. Sent on signature on 07.07. RPN issued Step 2. G&amp;T to review. SOMBP to check the scope per Clare's email on 10.10 and marked-up plans to be updated per Billy email on 31.10. SOMBP sent some changes to Eggtelsa on 16.11. Eggtela sent drawings on 23.11. SOMBP finalised scope change in INS 34, sent to SHP on 22.11. SHP issued INS 348 on 27.11. RPN to revise cost. SHP issued Step 3. SOMBP to come back to EggTelsa email from 5.01.24 - replied on 17.01. SOMBP confirmed that addition of 3 lights will be needed on 17.01, also based on EggTelsa reply additional revision may be needed. EggTelsa to respond. RPN issued commercial basis for discussion on 01.02. G&amp;T reviewed on 19.02. RPN responded on 26.02.  SOMBP issue Step 1 revision on 29.02. G&amp;T costed on 11.03.  RPN responded on 25.03. G&amp;T reviewed on 25.03. RPN responded on 28.03 and 18.04. G&amp;T disagrees on 18.04. RPN to call a meeting with Egg. SOMBP issued formal Step 1 rev 1 with cost to SHP on 01.05. SHP issued Step 3 rev 1. G&amp;T determined cost on 07.06 - the cost is agreed but the BUS circuit rate for emergency lighting determined. RPN provided cost update on 11.06. SOMBP replied to Clare email from 20.06 on 27.06. SOMBP replied Clare's email on 01.07. G&amp;T reviewed on 01.07. RPN responded on 02.07. G&amp;T responded on 02.07. RPN/Egg to provide their markups showing why they have different quantities - on 11.07. RPN confirmed 94 items. G&amp;T to determine per 12 WLA meeting on 11.07 - file sent on 12.07. SHP to issue determination. Clare fixed excel per Alex email from 16.07 on 16.07. G&amp;T added cost shift per Alex email on 18.07. Sent on signature on 23.07.
NOD recieved on 27.08.2024.
RPN sent revised quantities from EggT on 08.12.2025 for var 221.  G&amp;T sent a question on 16.12. SOMBP/RPN to reply. G&amp;T sent cost assessment to RPN on 23.12. RPN to respond - meeting is needed on quantities on 13.01 - RPN sent rable with TD drawings on 13.01. G&amp;T sent quantities on 14.01. RPN replied on 27.01. G&amp;T replied on 30.01. RPN to reply - Meeting done on 02.02.  Egg sent quantities table on 04.02. G&amp;T replied on 09.02. RPN responded ot the difference on nr. 4 TD elements on 12.02. G&amp;T replied on 17.02. RPN responded on 18.02. G&amp;T replied on 18.02. RPN sent assessment on 19.02. EggTelsa sent clarifications on 20.02. G&amp;T to replied on 10.03.2026 (70k diff. Eggtelsa design + making good). RPN to respond.</v>
          </cell>
        </row>
        <row r="234">
          <cell r="A234" t="str">
            <v>R-VAR-0222</v>
          </cell>
          <cell r="C234" t="str">
            <v>PV PANEL INSTALLATION ROOF BLDG B</v>
          </cell>
          <cell r="U234">
            <v>4</v>
          </cell>
          <cell r="AJ234" t="str">
            <v xml:space="preserve">PO for PMI 56 signed on 02.07. SOMBP issued Step 1 to SHP and G&amp;T. Rosana oked on 4.12. G&amp;T to cost - SOMBP to reply on email form Elliot on 11.01 - responded on 12.01. G&amp;T sent cost on 26.01. SOMBP sent cost comments to G&amp;T on 09.02. G&amp;T revised the cost on 16.02. SOMBP uploaded on 16.02. Cedric commented cost on 19.02. G&amp;T responded to the cost comments on 19.02. Rosana oked on 26.02. G&amp;T and SOMBP/AECOM checked cost - meeting on 12.03. G&amp;T revised cost on 12.03. SHP will issue per last G&amp;T file. Sent on signature on 22.03. RPN didn't issue Step 2. SHP issued Step 3. RPN to issue commercial proposal - still not recievied. G&amp;T issued cost DETERMINATION on 15.10. SHP to issue. On hold 17.10.2025 - to reassess with Cedric K and Patrick F -  necessary part of the temporary installations’ construction permit to satisfy Authorities’ requirements. </v>
          </cell>
        </row>
        <row r="235">
          <cell r="A235" t="str">
            <v>R-VAR-0223</v>
          </cell>
          <cell r="C235" t="str">
            <v>EXTRA CABLE TRENCH BETWEEN BUILDINGS AC AND S1</v>
          </cell>
          <cell r="U235">
            <v>2</v>
          </cell>
          <cell r="AJ235" t="str">
            <v>to review Step 2. TIA is agreed on 04.08. SOMBP : INS to be issued with design adjustments.RPN asks urgent reply due works already in progress - INS 294 issued on 23.08.  SHP to issue Step 3. Sent on signature on 06.09. G&amp;T cost issued on 24.08. RPN replied on 13.09. G&amp;T reissued on 25.09. RPN replied on 26.09. G&amp;T responded on 05.10. RPN seponded on 09.10. G&amp;T responded on 13.10. RPN to reply. Calum to have a Teams meetings before 1.12. RPN to provide final offer on 29/11. RPN organised a meeting on 4.12.2023 to close. RPN sent cost updated on 4.12. G&amp;T revised Step 3 issued 05/12 - RPN agreed on cost on 5.12. G&amp;T have issued final cost files to SHP for formal instruction on 6.12. Cost agreed on 05/12/23 SHP to issue Step 4. Sent for signature on 15/12.</v>
          </cell>
        </row>
        <row r="236">
          <cell r="A236" t="str">
            <v>R-VAR-0224</v>
          </cell>
          <cell r="C236" t="str">
            <v>BLDG A VOLT DROP</v>
          </cell>
          <cell r="U236" t="str">
            <v>CLOSED</v>
          </cell>
          <cell r="AJ236" t="str">
            <v>to issue Step 2 - technical issues to be discussed - rpn will send rfi. SOMBP issued INS 254 to revise Step 1. SHP issued pricing doc with ins 254 on 05/06. RPN to share the issue with SOMBP/SHP on missing cable section in INS 254 - TECH DISCUSSION ON INS STILL ON-GOING (Eggtelsa not able to quote step2). SOMBP issued INS 254 Rev 1 on 17.07. SOMBP : No further tech issues, as per MoM Focussed Resolution meeting of 25.07.2023. RPN asks urgent reply due to blocking point Done, RPN have issued Step 2 07.08.2023. AECOM provided clarifications to G&amp;T. G&amp;T issued revised cost on 25.08.  RPN sent cost on 18.09. G&amp;T replyed on 21.09. RPN responded on 27.09. G&amp;T to respond. SHP issued Step 3. Cost agreed on 11.10. SHP to issue Step 4.</v>
          </cell>
        </row>
        <row r="237">
          <cell r="A237" t="str">
            <v>R-VAR-0225</v>
          </cell>
          <cell r="C237" t="str">
            <v xml:space="preserve">SECURITY SHUTTERS </v>
          </cell>
          <cell r="U237">
            <v>5</v>
          </cell>
          <cell r="AJ237"/>
        </row>
        <row r="238">
          <cell r="A238" t="str">
            <v>R-VAR-0226</v>
          </cell>
          <cell r="C238" t="str">
            <v>BLDG S1 FLOOR BOXES POSITION</v>
          </cell>
          <cell r="U238" t="str">
            <v/>
          </cell>
          <cell r="AJ238" t="str">
            <v>VAR no longer required from SOM/B+P point of view, awaiting client confirmation</v>
          </cell>
        </row>
        <row r="239">
          <cell r="A239" t="str">
            <v>R-VAR-0227</v>
          </cell>
          <cell r="C239" t="str">
            <v>BLDG S1 L01 - DG VISITORS MEETING SUITE CEILINGS</v>
          </cell>
          <cell r="U239">
            <v>4</v>
          </cell>
          <cell r="AJ239" t="str">
            <v>G&amp;T step 3 issued 15/02/23. RPN to review. RPN/G&amp;t issue on light installation tbd. TIA - ok. meeting - 07/07.  Meeting done and email sent in discussion between G&amp;T. 
SHP to issue Step 3. Sent for signature on 8.11
RPN to review the cost. 
G&amp;T sent determination on 09.08. SHP to determine. Sent on signautres on 19.02.</v>
          </cell>
        </row>
        <row r="240">
          <cell r="A240" t="str">
            <v>R-VAR-0228</v>
          </cell>
          <cell r="C240" t="str">
            <v>CONCORDIA NEW FIRE DOORS</v>
          </cell>
          <cell r="U240">
            <v>1</v>
          </cell>
          <cell r="AJ240" t="str">
            <v>PMI 58 sent to PTS on 17.07. SOMBP issued var on 31.08. G&amp;T issued cost files on 15.09. Sam oked on 11.09. SOMBP uploaded to PMWeb on 19.09. SHP to issue.
RPN issued Step 2 on 31/10/23. G&amp;T reviewed cost on 17.11. SOMBP  checked scope per CAlum email from 17.11 on 21.11. G&amp;T issued updated cost on 11.12. 
SHP issued Step 3.
RPN responded to G&amp;T on 16.01. G&amp;T reviewed on 09.02. RPN responded on 14.02 and 15.02. G&amp;T responded on 19.02. RPN responded on 12.02. G&amp;T responded on 26.02. Cost AGREED on 26.02. G&amp;T sent cost file to SHP on 01.03. SHP to issue. Snet on signature on 11.03.</v>
          </cell>
        </row>
        <row r="241">
          <cell r="A241" t="str">
            <v>R-VAR-0229</v>
          </cell>
          <cell r="C241" t="str">
            <v>HALL A14 STAKEOUT AV RACK RELOCATION</v>
          </cell>
          <cell r="U241">
            <v>1</v>
          </cell>
          <cell r="AJ241" t="str">
            <v>SOMBP to review Step 1 (issue an instruction?) per comments on 21/04 from Patrick V and 26/04 from Patrick F - issue closed per Dominic email from 02.07.23. RPN to issue Step 2 - TECH DISCCSSION STILL ON GOING - G&amp;T tor review step2.
RPN to add the pricing document was it is not included in Step 2 in PMWeb.
 G&amp;T sent revision on 22.09. RPN replied on 28.09. G&amp;T responded on 03.10. RPN responded on 12.10.
SHP to issue Step 3.  Sent for signature on 13.10. 
GT reviewed on 17.10. RPN responded on 19.10. G&amp;T replied on 19.10. 
G&amp;T to determine.
06/12/23: discrepancy between the Architectural and Electrical drawings: EL drawings revised two times but the 2 cameras were not added, so they have to be added in this variation. RPN to call a meeting with Clare and SOMBP. Cost AGREED on 20.12. SHP to issue Step 4. Sent for signature on 22.12.</v>
          </cell>
        </row>
        <row r="242">
          <cell r="A242" t="str">
            <v>R-VAR-0230</v>
          </cell>
          <cell r="C242" t="str">
            <v>TEMPORARY SEPARATION IN THE ROOM E.121 LEVEL 1 - BUILDING E</v>
          </cell>
          <cell r="U242">
            <v>2</v>
          </cell>
          <cell r="AJ242" t="str">
            <v>Cedric replyed on scope (wall) to G&amp;T on 1.06. cost agreed on 07.06. Cedric to check per Alex email on 07.06. Sent on signature on 17.07.</v>
          </cell>
        </row>
        <row r="243">
          <cell r="A243" t="str">
            <v>R-VAR-0231</v>
          </cell>
          <cell r="C243" t="str">
            <v xml:space="preserve">BLDG AB L1 TOILET CHANGES FOR MANHOLE INTEGRATION </v>
          </cell>
          <cell r="U243">
            <v>1</v>
          </cell>
          <cell r="AJ243" t="str">
            <v>cost agreed on 19.05. SHP to issue Step 3&amp;4. Sent on signature on 08.06</v>
          </cell>
        </row>
        <row r="244">
          <cell r="A244" t="str">
            <v>R-VAR-0232</v>
          </cell>
          <cell r="C244" t="str">
            <v>PAS PERDUS CABLE TRAY CORNICE COVER</v>
          </cell>
          <cell r="U244" t="str">
            <v>NA</v>
          </cell>
          <cell r="AJ244"/>
        </row>
        <row r="245">
          <cell r="A245" t="str">
            <v>R-VAR-0233</v>
          </cell>
          <cell r="C245" t="str">
            <v>EVACUATION PLANS DRAWINGS AND INSTALLATION</v>
          </cell>
          <cell r="U245">
            <v>5</v>
          </cell>
          <cell r="AJ245" t="str">
            <v>G&amp;T to review Step 2. SOMBP to confirm scope increase per Calum email on 11.07. cost agreed on 25.07. SHP to issue Step 3&amp;4. Alex - IntF. Cinzia - the quantities are checked by SBIS. Sent for signature on 07.08.</v>
          </cell>
        </row>
        <row r="246">
          <cell r="A246" t="str">
            <v>R-VAR-0234</v>
          </cell>
          <cell r="C246" t="str">
            <v>BLDG D NEW FIRE RATED DOOR</v>
          </cell>
          <cell r="U246">
            <v>1</v>
          </cell>
          <cell r="AJ246"/>
        </row>
        <row r="247">
          <cell r="A247" t="str">
            <v>R-VAR-0235</v>
          </cell>
          <cell r="C247" t="str">
            <v>PRESS ROOM MOTORIZED DOOR</v>
          </cell>
          <cell r="U247">
            <v>2</v>
          </cell>
          <cell r="AJ247"/>
        </row>
        <row r="248">
          <cell r="A248" t="str">
            <v>R-VAR-0236</v>
          </cell>
          <cell r="C248" t="str">
            <v>HALL C - ENTRANCE C6 MODIFICATIONS</v>
          </cell>
          <cell r="U248">
            <v>4</v>
          </cell>
          <cell r="AJ248" t="str">
            <v>cost agreed on 05.05.
G&amp;T revised cost per Amendment 7 and Patrick F email from 30.10.2024. on 31.10. SHP to issue. Cost updated on 14.11.</v>
          </cell>
        </row>
        <row r="249">
          <cell r="A249" t="str">
            <v>R-VAR-0237</v>
          </cell>
          <cell r="C249" t="str">
            <v>DAYWORK - various</v>
          </cell>
          <cell r="U249">
            <v>5</v>
          </cell>
          <cell r="AJ249" t="str">
            <v>to revise Step 1. Sent for signature on 01.11.
RPN issued Step 2 on 14/11. RPN to submit signed dayworks sheets and supporting information to support drawdown of dayworks. G&amp;T to advise once CHF100k cap is reached. All documents were shared by RPN and agreed with G&amp;T. G&amp;T sent final cost file on 31.05. SHP to issue. Sent on signature on 05.06.
Step 4 revision 1 made by Alex on 09.07 to change cost allocation from risk pot to SHP contigency. SHP to issue Step 4 revision 1. Sent on signature on 12.07.</v>
          </cell>
        </row>
        <row r="250">
          <cell r="A250" t="str">
            <v>R-VAR-0238</v>
          </cell>
          <cell r="C250" t="str">
            <v>FIRE PROOF CEILING BLDG A LEVEL 06</v>
          </cell>
          <cell r="U250">
            <v>3</v>
          </cell>
          <cell r="AJ250" t="str">
            <v>G&amp;T step 3 issued to RPN. EoT agreed on 05.06. RPN replied  to G&amp;T on 25.05. G&amp;T replied on 19.06. RPN to review. SOMBP confirmed scope per Alistair email from 20.06. G&amp;T issued final Step 3 cost to RPN on 20.06.
cost agreed on 22.06. SHP to issue Step 3&amp;4. Sent on signature on 28.06</v>
          </cell>
        </row>
        <row r="251">
          <cell r="A251" t="str">
            <v>R-VAR-0239</v>
          </cell>
          <cell r="C251" t="str">
            <v>UNFCU FIBERS AND CAT7A CABLES</v>
          </cell>
          <cell r="U251">
            <v>2</v>
          </cell>
          <cell r="AJ251" t="str">
            <v>PO signed by SOMBP. SOMBP sent var to SHP to check on 22.12. Youssef oked on 18.01. SOMBP sent to G&amp;T and RPN on 23.01. G&amp;T costed on 26.02. SOMBP updated scope on 06.03. G&amp;T recosted on 11.04. SOMBP uploaded on 16.04. SHP to issue - first G&amp;T added descope on 22.04. Sent on signature on 24.04.
RPN didn't issue Step 2.
SHP issued Step 3. RPN issued commercial proposal on 14.01. SOMBP provided scope comments per marina's email from 21.01 adn Clare's on 06.02 and 07.02 - done on 14.02. SOMBP provided clarification per Clare's email fron 20.02 on 28.02. G&amp;T assessed on 13.03. RPN responded on 26.03. G&amp;T revised cost per meeting on 14.04. RPN responded on 30.04. SOMBP replied on server room on 08.05. G&amp;T replied on 08.05. RPN to respond.
SOMBP to advise if scope revision is needed - done on 14.05. SOMBP revised Step 3 on 20.05. SHP to issue - Marina revised Step 3 rev 1 scope on 05.06. SHP to review.
Vent meeting SHP/RPN on 28.07. SHP/YOM to send schetch to RPN/PXT - done on 28.07. RPN revised com porposal sent on 30.07. Tech meeting on site on 11.08. RPN revised com proposal on 14.08. Meeting RPN/SHP/G&amp;T on 04.09. G&amp;T commented cost on 04.09. RPN responded on 16.09. G&amp;T replied on 24.09. RPN responded on 15.10. G&amp;T replied tht RPN proposal didn't change much or provide more details on 24.10. G&amp;T send revised assessment on 02.12. RPN to reply to Clare. RPN porposed cost split for agreement on 17.12 - SHP to decide oked by Neil on 16.12. G&amp;T/Clare sent proposal to RPN on 19.12. RPN cost AGREED on 19.12. G&amp;T sent final cost file to SHP on 19.12. SHP to issue. Sent on signature on 23.12.2025.</v>
          </cell>
        </row>
        <row r="252">
          <cell r="A252" t="str">
            <v>R-VAR-0240</v>
          </cell>
          <cell r="C252" t="str">
            <v>NEW FIRE DOORS BLDG A, AB, AC, B, C, S1, S2</v>
          </cell>
          <cell r="U252">
            <v>1</v>
          </cell>
          <cell r="AJ252" t="str">
            <v>RPN to issue Step 2. To clarify the door - INS 257 revised step 1 (Max - oked ins) was issued. RPN is awaiting supplier reply. Cost ageed on 18.08. SHP to issue Step 3&amp;4 - EoT agrred on 22.08. Cost files orrected by G&amp;T per Alex request. Sent on signture on 31.08</v>
          </cell>
        </row>
        <row r="253">
          <cell r="A253" t="str">
            <v>R-VAR-0241</v>
          </cell>
          <cell r="C253" t="str">
            <v>FLOOR FINISH IN ENERGY CENTER</v>
          </cell>
          <cell r="U253">
            <v>2</v>
          </cell>
          <cell r="AJ253" t="str">
            <v>cost agreed on 12.06. sent on signature on 30.06</v>
          </cell>
        </row>
        <row r="254">
          <cell r="A254" t="str">
            <v>R-VAR-0242</v>
          </cell>
          <cell r="C254" t="str">
            <v>BUILDING S1 CLOCK POSITIONS</v>
          </cell>
          <cell r="U254">
            <v>1</v>
          </cell>
          <cell r="AJ254"/>
        </row>
        <row r="255">
          <cell r="A255" t="str">
            <v>R-VAR-0243</v>
          </cell>
          <cell r="C255" t="str">
            <v>FIRE DETECTION SKYLIGHTS BLDG B and C</v>
          </cell>
          <cell r="U255">
            <v>3</v>
          </cell>
          <cell r="AJ255" t="str">
            <v>G&amp;T step 1 cost issued 28/03. SOMBP issued Step 1 04/05. SHP to issue Step 1. Alex - ok. Sam - ok on 06.07. Sent on signature on 06.07.
G&amp;T reviewed Step 2 on 21.09. RPN replied on 25.09. G&amp;T replied on 03.10. RPN responded on 03.10. G&amp;T latest step 3 shared with SHP on 21/11. 
SHP issued Step 3.
G&amp;T issued cost on 09.01. Cost AGREED on 15.01. G&amp;T issued final cost to SHP on 17.01. SHP to issue Step 4. Sent for signature on 19.01.</v>
          </cell>
        </row>
        <row r="256">
          <cell r="A256" t="str">
            <v>R-VAR-0244</v>
          </cell>
          <cell r="C256" t="str">
            <v>FIRE DAMPER BLDG S1 NODE 3</v>
          </cell>
          <cell r="U256">
            <v>2</v>
          </cell>
          <cell r="AJ256" t="str">
            <v>G&amp;T step 1 cost issued 28/03. SOMBP uploaded to PMWeb on 17.05. SHP to issue Step 1. Youssef, Sam - ok on 06.07. Sent for signature on 07.07
G&amp;T reviewed cost on 14.11. RPN responded on 21.11. 
SHP issued Step 3.
G&amp;T responded on 5.12. RPN/ PXT to know which are the additional fire as you will be the ones carrying out the work - meeting? RPN responded on 5.12. G&amp;T agreed cost on 6.12. G&amp;T issued final cost file to SHP on 7.12. SHP to issue. Sent for signature on 15.12.</v>
          </cell>
        </row>
        <row r="257">
          <cell r="A257" t="str">
            <v>R-VAR-0245</v>
          </cell>
          <cell r="C257" t="str">
            <v>​FIRE DAMPERS DELEGATES RESTAURANT</v>
          </cell>
          <cell r="U257" t="str">
            <v>CLOSED</v>
          </cell>
          <cell r="AJ257" t="str">
            <v>cost agreed on 24.05. SHP to issue Step 3&amp;4. Sent for signature on 31.05.</v>
          </cell>
        </row>
        <row r="258">
          <cell r="A258" t="str">
            <v>R-VAR-0246</v>
          </cell>
          <cell r="C258" t="str">
            <v>Bldg AB / S - REFURBISMENT EXISTING VALVES ON HTHW CIRCUITS</v>
          </cell>
          <cell r="U258">
            <v>1</v>
          </cell>
          <cell r="AJ258" t="str">
            <v>cost agreed on 05.06. sent on signature on 08.06</v>
          </cell>
        </row>
        <row r="259">
          <cell r="A259" t="str">
            <v>R-VAR-0247</v>
          </cell>
          <cell r="C259" t="str">
            <v>Bldg D-LIFT MACHINE 9A EXTRACT FAN</v>
          </cell>
          <cell r="U259" t="str">
            <v/>
          </cell>
          <cell r="AJ259" t="str">
            <v>VAR not needed</v>
          </cell>
        </row>
        <row r="260">
          <cell r="A260" t="str">
            <v>R-VAR-0248</v>
          </cell>
          <cell r="C260" t="str">
            <v>BLDG A L06 CORRIDOR CH-A6-H6/L6 LIGHTING</v>
          </cell>
          <cell r="U260">
            <v>4</v>
          </cell>
          <cell r="AJ260" t="str">
            <v>G&amp;T issued review Step 2 cost on 19.09.
SHP to issue Step 3.
G&amp;T sent revised cost on 15.01. Cost AGREED on 29.01. G&amp;T issued final cost files to SHP on 31.01. SHP to issue. Sent for signature on 06.02</v>
          </cell>
        </row>
        <row r="261">
          <cell r="A261" t="str">
            <v>R-VAR-0249</v>
          </cell>
          <cell r="C261" t="str">
            <v>Bldg C- SKYLIGHT SECURITY AND LIGHTING CONTROL</v>
          </cell>
          <cell r="U261">
            <v>4</v>
          </cell>
          <cell r="AJ261" t="str">
            <v>OMBP sent Step 1 to G&amp;T on 03.05. G&amp;T issued cost. SOMBP uploaded to PMWeb on 30.05. Benoit - ok. Youssef - not mechanical. Sent on signature on 20.07.
G&amp;T reviewed Step 2 on 21.09.
Cost agreed on 26.09. SHP to issue Step 3&amp;4. Sent for signature on 11.10.</v>
          </cell>
        </row>
        <row r="262">
          <cell r="A262" t="str">
            <v>R-VAR-0250</v>
          </cell>
          <cell r="C262" t="str">
            <v>Bldg S - OPEN AREA LINK L00 and L01 - RFI944-A</v>
          </cell>
          <cell r="U262">
            <v>2</v>
          </cell>
          <cell r="AJ262" t="str">
            <v>Step 1 sent to G&amp;T for costing on 08.08. G&amp;T issued cost files on 18.08. SOMBP uploaded on 18.08. Benoit - ok. SHP to issue Step 1. Sent for signature on 29.08.
RPN issued Step 2.
SOMBP to advise on the scope per Clare email on 12.10 - Stefano replied on 12.10. G&amp;T issued Step 3 cost to RPN on 16.10. RPN responded on 26.10 and G&amp;T on 30.10 - site meeting is required to check the works with G&amp;T - RPN to organise a meeting.
SHP issued Step 3.
G&amp;T issued cost on 28.11. RPN to reply.
VAR scope meeting on 30.11: RPN Deliaj L. to go and check on site the scope. SOMBP to provide summary of events to understand impact of rework. EggTelsa to review Clare's file one more time and reply all questions.
Clarification as to whether scope of RFI 944 is to be included as part of the variation scope. RPN claim that works have been carried out which need to be included in this variation.
Clare resend a querry to RPN on 3.01. RPN responded on 10.01. G&amp;T reviewed on 19.01. RPN reviewed on 01.02. G&amp;T responded on 14.02. RPN cost AGREED on 03.04. G&amp;T final cost file issued 15.04. SHP to issue Step 4. Sent on signature on 18.04.</v>
          </cell>
        </row>
        <row r="263">
          <cell r="A263" t="str">
            <v>R-VAR-0251</v>
          </cell>
          <cell r="C263" t="str">
            <v>BDLG S1 AND S2 - 63A 32A SOCKET RELOCATION</v>
          </cell>
          <cell r="U263">
            <v>2</v>
          </cell>
          <cell r="AJ263" t="str">
            <v>RPN issued Step 2. G&amp;T reviewed on 26.09. RPN responded on 26.09. G&amp;T responded on 18.10.
Stefano replied per Calre email from 17.11 on 20.11, Cedric E confirmed on 20.11.
SHP to issue Step 3. Sent for signature on 8.11. 
RPN replied to G&amp;T on 09.11.23. G&amp;T replied to RPN on 24.11. RPN responded on 11.12. Cost AGREED on 11.12.
SHP to issue Step 4. Sent for signature on 15.12.</v>
          </cell>
        </row>
        <row r="264">
          <cell r="A264" t="str">
            <v>R-VAR-0252</v>
          </cell>
          <cell r="C264" t="str">
            <v>BLDG AC L02 ROOM A.210 NEW FIRE COMPARTMENT</v>
          </cell>
          <cell r="U264">
            <v>3</v>
          </cell>
          <cell r="AJ264" t="str">
            <v>RPN issued Step 2 on 08/11/23. G&amp;T to revise Step 3 now that AECOM query responses received on 29.11 and issue to RPN. 
SHP issued Step 3 (G&amp;T cost recieved).
G&amp;T issued cost to RPN on 5.12. Cost AGREED on 13.03. SHP to issue Step 4. First G&amp;T corrected cost file on 15.03. Sent on signature on 19.03.</v>
          </cell>
        </row>
        <row r="265">
          <cell r="A265" t="str">
            <v>R-VAR-0253</v>
          </cell>
          <cell r="C265" t="str">
            <v>PROJECT DIAGNOSTIC</v>
          </cell>
          <cell r="U265">
            <v>5</v>
          </cell>
          <cell r="AJ265" t="str">
            <v>SHP to issue Step 4 revision 1 due to cost allocation revision. Sent on signature on 12.07.</v>
          </cell>
        </row>
        <row r="266">
          <cell r="A266" t="str">
            <v>R-VAR-0254</v>
          </cell>
          <cell r="C266" t="str">
            <v>BLDG D B1 ROOM D.017 FIRE PROTECTION EXISTING MATERIAL UPGRADE</v>
          </cell>
          <cell r="U266">
            <v>1</v>
          </cell>
          <cell r="AJ266"/>
        </row>
        <row r="267">
          <cell r="A267" t="str">
            <v>R-VAR-0255</v>
          </cell>
          <cell r="C267" t="str">
            <v>ELECTRICAL SUPPLIES FOR SMOKE EXTRACTION INSTALLATIONS</v>
          </cell>
          <cell r="U267">
            <v>1</v>
          </cell>
          <cell r="AJ267" t="str">
            <v>SOMBP sent Step 1 to G&amp;T on 07.07. G&amp;T to issue cost files. SHP Rosana oked Step 1 scope form SOMBP on 07.07. SOMBP uploaded to PMWeb on 26.07. Sent on signature on 28.07. Patrck F provided expalantion to David on 17.08. David to sign.
RPN to issue Step 2. Electrical supply for smoke exhaust B is missing in the VAR. We are currently sizing the cable and Cedric issued INS 302 to VAR on 19.09. G&amp;T issued updated cost on 26.09 Clare - SOMBP to check.
RPN issued step 2 on 25/10/23, considering also INS 302. G&amp;T checked cost on 31.10. SOMBP to check scope first per Clare's email on 31.10. RPN to provide cable route information to AECOM 28/11.
RPN replyed to Clare;s scope email from 31.10 on 13.11. G&amp;T issued comments on 28.11.
VAR meeting on 30.11 to discuss scope:
EggTels - to provide to Clare market price for firerated cables; for each cable add starting and finish point.
SHP to issue Step 3 - on hold, SOMBP wants to add cable change as INS 302 revision - Sent to SHP G&amp;T and RPN on 7/12. SHP issued INS 302 rev 1 on 18.12. RPN to revise costs to account for latest information in INS 302 - on 19.01. G&amp;T sent a list of questions on 30.01. RPN responded on 19.02. Cost AGREED on 08.03. 
SHP to issue Step 4. First G&amp;T to add Step 1 cost to excel. After Patrick F review - SOMBP commented the scope on 17.04, SOMBP to run a meeting with Cedric SHP, G&amp;T to decrease the cost - 23.04. Clare to work with Cedric to lower the cost - done on 26.04. Patrick F shared cost file with RPN on 26.04. RPN resent EggTelsa actual info on 22.05. SHP on 28.05 - proceed with descope and keep 1 loop. G&amp;T assessed descope on 11.06 and issued revised Step 3 on 14/06. RPN reviewed on 14.06. G&amp;T sent cost DETERMINATION on 21.06. Dean confirmed EoT on 25.06. SHP to issue. Sent on signature on 25.06.</v>
          </cell>
        </row>
        <row r="268">
          <cell r="A268" t="str">
            <v>R-VAR-0256</v>
          </cell>
          <cell r="C268" t="str">
            <v>RE-ROUTING LTHW PIPE INSIDE CORRIDOR OF BUILDING S1</v>
          </cell>
          <cell r="U268">
            <v>2</v>
          </cell>
          <cell r="AJ268" t="str">
            <v>SOMBP is not part of this var. SHP to issue Step 1. Youssef ok Step 1 and cost on 31.08. Alex - Internal form, G&amp;T issued cost files. Sent on signature on 05.09.
RPN issued Step 2. G&amp;Tissued cost assessmemnt on 24.11.
SHP issueed Step 3.
RPN responded on 04.12. G&amp;T agreed cost on 4.12. SHP to issue. Sent for signature on 7.12.</v>
          </cell>
        </row>
        <row r="269">
          <cell r="A269" t="str">
            <v>R-VAR-0257</v>
          </cell>
          <cell r="C269" t="str">
            <v>INTERPRETER BOOTH AIR DIFFUSER</v>
          </cell>
          <cell r="U269">
            <v>5</v>
          </cell>
          <cell r="AJ269" t="str">
            <v>Cost agrred on 04.05. 29.05 sent on signature.
G&amp;T to recost based on Amendment 7 per Patrick email from 30.10. SHP to issue.</v>
          </cell>
        </row>
        <row r="270">
          <cell r="A270" t="str">
            <v>R-VAR-0258</v>
          </cell>
          <cell r="C270" t="str">
            <v>Bldg A AND AC - MECHANICAL SMOKE EXTRACTION AEAI NON COMFORMITY</v>
          </cell>
          <cell r="U270" t="str">
            <v/>
          </cell>
          <cell r="AJ270" t="str">
            <v>included in VAR 255</v>
          </cell>
        </row>
        <row r="271">
          <cell r="A271" t="str">
            <v>R-VAR-0259</v>
          </cell>
          <cell r="C271" t="str">
            <v>Bldg A - ADDING DEPARTURES IN MLVB AV</v>
          </cell>
          <cell r="U271" t="str">
            <v>CLOSED</v>
          </cell>
          <cell r="AJ271" t="str">
            <v>SOMBP issued on 16.06. Rosana - ok. Sent on signature on 18.07.
RPN to issue step 2.
SHP to issue Step 3.
RPN issued step 2.1 on 25.10.23. G&amp;T reviewed on 30.10. RPN replyed on 01/11/23. G&amp;T replied on 30.10. RPN replyed on 01/11. RPN responded on 20.11. G&amp;T replied on 20.11. RPN replied on 20.11. G&amp;T replied on 5.12 - Eggtelsa to provide a buildup of the 26%. RPN issued cost on 11.12. Cost AGREED on 12.12. SHP to issue Step 4. Sent on signature on 15.12.</v>
          </cell>
        </row>
        <row r="272">
          <cell r="A272" t="str">
            <v>R-VAR-0260</v>
          </cell>
          <cell r="C272" t="str">
            <v>BLDGS A / AB / C - INTERPRETER BOOTHS ACOUSTICS</v>
          </cell>
          <cell r="U272">
            <v>3</v>
          </cell>
          <cell r="AJ272" t="str">
            <v>SOMBP started to work on var 0n 24.02.23. SOMBP issued draft to G&amp;T 30.03. SOMBP issued to SHP on 18.04. SHP to check Step 1 with cost. SOMBP to solve mock up issue.
Mock-up technical discussions on-going between SOMBP and RPN. SHP can issue VAR even without mock-up. Max - says cost is too hight. should be reviewed. Marina edited Step 1 text to add room XVI to C6 new glazing. Alex - updated cost, Patrick - edited. Sent on signature on 15.06.
RPN to issue Step 2 - TECH DISCUSSION STILL ONGOING. SOMBP to check tech solution - glass with consultant, acoustic test. RPN advices difficulty to find the door as per step 1 (the product of the step1 is not certified)
SOM/B+P has provided an example to RPN of a manufacturer who can provide the required product. Rpn has replied with multiple solution - SOMBP to confirm the finalproduct. SHP issued INS 311 on 02.10.23.
SOMBP agreed descope Glazing as it's sound compliant, only frame is not on 27.10.
RPN to issued Step 2 with option without grass replacement on 04/11/23.
G&amp;T reviewed on 24.11. RPN responded ob 27.11. G&amp;T replied on 29.11.
SHP issued Step 3.
RPN issued revise cost to G&amp;T on 13.12. G&amp;T to review - awaiting response to queries raised by Calum to RPN.  Cost AGREED on 12.01. G&amp;T issued final cost files to SHP on 15.01. SHP to issue Step 4. Patrick F oked on 24.01. G&amp;T revised cost file for Alex on 23.01. Sent for signature on 24.01.
G&amp;T revised cost per Amendment 7 and Patrick F email from 30.10.2024. on 31.10. SHP to issue.</v>
          </cell>
        </row>
        <row r="273">
          <cell r="A273" t="str">
            <v>R-VAR-0261</v>
          </cell>
          <cell r="C273" t="str">
            <v>BLDGS A / AB / C - INTERPRETER BOOTHS INTERIOR FITOUT CHANGES</v>
          </cell>
          <cell r="U273">
            <v>3</v>
          </cell>
          <cell r="AJ273" t="str">
            <v>cost agreed on 09.08. SHP to issue Step 3&amp;4. Sent ofr signature on 15.08.</v>
          </cell>
        </row>
        <row r="274">
          <cell r="A274" t="str">
            <v>R-VAR-0262</v>
          </cell>
          <cell r="C274" t="str">
            <v>BLDG AC PHONE BOOTHS</v>
          </cell>
          <cell r="U274">
            <v>3</v>
          </cell>
          <cell r="AJ274" t="str">
            <v>cost agreed on 07.08. SHP to issue Step 3&amp;4. Sent on signature on 10.08.</v>
          </cell>
        </row>
        <row r="275">
          <cell r="A275" t="str">
            <v>R-VAR-0263</v>
          </cell>
          <cell r="C275" t="str">
            <v>SALLE VII SCREEN BRACKETS</v>
          </cell>
          <cell r="U275">
            <v>3</v>
          </cell>
          <cell r="AJ275" t="str">
            <v>cost agreed on 13.06. sent on signature on 14.06</v>
          </cell>
        </row>
        <row r="276">
          <cell r="A276" t="str">
            <v>R-VAR-0264</v>
          </cell>
          <cell r="C276" t="str">
            <v>BLDG A STAIRCASES 12 / 13 / 15 / 16 SUSPENDED LIGHTING</v>
          </cell>
          <cell r="U276">
            <v>3</v>
          </cell>
          <cell r="AJ276" t="str">
            <v>G&amp;T to review step 2. RPN asks urgent feedback on supply price to unlock the order. G&amp;T to respond by 11.08. Comments by G&amp;T received on 16.08 - still too far assesment - urgent to do order lights.
SHP to issue Step 3. Sent for signature on 04.09.
RPN⁠ responded to Step 3 assessment 26/10/2023. G&amp;T sent cost on 6.11. Cost agrred by RPN on 7.11. G&amp;T issued final cost file to SHP on 16.11. G&amp;T changeed and agreeed with RPN cost 80 CHF difference on 24.11. SHP to issue. Sent for signature on 30.11.
SHP/Alex requested residual risk / contingency allocation change on 28.04. Marina changed the forms on 29.04. SHP to issue.</v>
          </cell>
        </row>
        <row r="277">
          <cell r="A277" t="str">
            <v>R-VAR-0265</v>
          </cell>
          <cell r="C277" t="str">
            <v>BLDGS AC - INTERPRETER BOOTHS ACOUSTICS</v>
          </cell>
          <cell r="U277" t="str">
            <v/>
          </cell>
          <cell r="AJ277" t="str">
            <v>SHP confirmed that VAR is NOT needed (see Max email on 04.05)</v>
          </cell>
        </row>
        <row r="278">
          <cell r="A278" t="str">
            <v>R-VAR-0266</v>
          </cell>
          <cell r="C278" t="str">
            <v>BLDGS AC - INTERPRETER BOOTHS INTERIOR FITOUT CHANGES</v>
          </cell>
          <cell r="U278">
            <v>3</v>
          </cell>
          <cell r="AJ278" t="str">
            <v>G&amp;T to review step 2. 
SHP issud Step 3.
G&amp;T Step 3 issued 09/08. Cost AGREED on 17.01. SHP to issue. Sent on signature on 23.01.
RPN calimed extra m2 for filsms on 11.12.2024. SOMBP confirmed scope. RPN sent cost revision on 13.12. G&amp;T cost AGREED on 17.12. SHP to issue. Sent on signature on 20.12.</v>
          </cell>
        </row>
        <row r="279">
          <cell r="A279" t="str">
            <v>R-VAR-0267</v>
          </cell>
          <cell r="C279" t="str">
            <v>BLDG A - L04 LIGHTING IN LATERAL AISLES NICHES</v>
          </cell>
          <cell r="U279">
            <v>4</v>
          </cell>
          <cell r="AJ279" t="str">
            <v>G&amp;T to review step 2. RPN awaits instruction to revised the scope as per SHP decision - Zeynep drafted revision INS 300 issued on 31.08.
SHP issued Step 3.
 RPN reviewed the cost accordingly to INS 300 on 06.02, and on 16.02. G&amp;T reviewed on 20.02. RPN cost AGREED on 20.03. G&amp;T sent final cost file to SHP on 20.03. SHP to issue Step 4. Sent on signature on 25.03.</v>
          </cell>
        </row>
        <row r="280">
          <cell r="A280" t="str">
            <v>R-VAR-0268</v>
          </cell>
          <cell r="C280" t="str">
            <v>BOILER ROOM ENTRANCE - FIRE RATED BULKHEAD INSTALLATION</v>
          </cell>
          <cell r="U280" t="str">
            <v>NA</v>
          </cell>
          <cell r="AJ280" t="str">
            <v>cost agreed on 02.08. SHP to issue Step 3&amp;4. Sent on signature on 10.08.</v>
          </cell>
        </row>
        <row r="281">
          <cell r="A281" t="str">
            <v>R-VAR-0269</v>
          </cell>
          <cell r="C281" t="str">
            <v>BUILDING H BC INTERVENTION</v>
          </cell>
          <cell r="U281">
            <v>3</v>
          </cell>
          <cell r="AJ281" t="str">
            <v>to review step 2.  RPN sent comments on 23.08. Cost agreed on 29.08. SHP to issue Step 3&amp;4. G&amp;T added Step 1 cost to excel on 06.09.</v>
          </cell>
        </row>
        <row r="282">
          <cell r="A282" t="str">
            <v>R-VAR-0270</v>
          </cell>
          <cell r="C282" t="str">
            <v>ARCH-BUILDING AA – L06 FIRE COMPARTIMENT CORRIDOR CH-A6-G9-J9</v>
          </cell>
          <cell r="U282" t="str">
            <v/>
          </cell>
          <cell r="AJ282" t="str">
            <v>double to var 238</v>
          </cell>
        </row>
        <row r="283">
          <cell r="A283" t="str">
            <v>R-VAR-0271</v>
          </cell>
          <cell r="C283" t="str">
            <v xml:space="preserve">FINANCIAL AND TECHNICAL PROPOSALS FOR THE MAINTENANCE SERVICES OF THE LIFTS </v>
          </cell>
          <cell r="U283">
            <v>3</v>
          </cell>
          <cell r="AJ283" t="str">
            <v>RPN to issue Step 2.
SHP - David H. confirmed to close, SHP to withdraw - issue Step 3 closure.</v>
          </cell>
        </row>
        <row r="284">
          <cell r="A284" t="str">
            <v>R-VAR-0272</v>
          </cell>
          <cell r="C284" t="str">
            <v>AHU-01.MEP-01 CONNECTION OF EXISTING DUCTS</v>
          </cell>
          <cell r="U284" t="str">
            <v>CLOSED</v>
          </cell>
          <cell r="AJ284" t="str">
            <v>G&amp;T to review step 2. G&amp;T Step 3 issued 25/07. Cost agreed on 21.08. SHP to issue Step 3&amp;4. Sent for signature on 24.08.</v>
          </cell>
        </row>
        <row r="285">
          <cell r="A285" t="str">
            <v>R-VAR-0273</v>
          </cell>
          <cell r="C285" t="str">
            <v>ARCHIVES DISMANTLING OF EXISTING HEATING PIPES</v>
          </cell>
          <cell r="U285" t="str">
            <v/>
          </cell>
          <cell r="AJ285" t="str">
            <v>RFI to be undertaken as Dayworks, not Variation as per G&amp;T request please submit information for review against VAR188. RPN have done rfi daywork 1129</v>
          </cell>
        </row>
        <row r="286">
          <cell r="A286" t="str">
            <v>R-VAR-0274</v>
          </cell>
          <cell r="C286" t="str">
            <v>BLDG C PANTRY RISER AND RADIATOR RELOCATION PANTRY C.107</v>
          </cell>
          <cell r="U286" t="str">
            <v>DONE</v>
          </cell>
          <cell r="AJ286" t="str">
            <v>cost agreed on 14.06. SHP to issue Step 34.</v>
          </cell>
        </row>
        <row r="287">
          <cell r="A287" t="str">
            <v>R-VAR-0275</v>
          </cell>
          <cell r="C287" t="str">
            <v>2 SPLIT UNITS TO MOVE IN FINAL LOCATION BLDH H</v>
          </cell>
          <cell r="U287">
            <v>3</v>
          </cell>
          <cell r="AJ287" t="str">
            <v>Youssef dradted Step 1 on 20.07. Alex sent it to G&amp;T. Youssef - to reply Alex question on 24.07. G&amp;T issued cost files on 02.08. Youssef - oked cost. Alex - IntF ok. Sent on signature on 10.08.
RPN didn't issue Step 2.
SHP issued Step 3.
RPN issued cost proposal on 05.12. G&amp;T reviewed on 01.02. RPN revised cost on 21.02. G&amp;T to respond - SHP confirmed scope per Elliot email from 05.02 on 06.03. G&amp;T responded on 11.03. RPN cost AGREED on 11.03. G&amp;T sent to SHP cost file on 20.03. SHP to issue Step 4. Sent on signature on 25.03.</v>
          </cell>
        </row>
        <row r="288">
          <cell r="A288" t="str">
            <v>R-VAR-0276</v>
          </cell>
          <cell r="C288" t="str">
            <v>OVERVIEW OF ENERGY METERING SYSTEM</v>
          </cell>
          <cell r="U288">
            <v>4</v>
          </cell>
          <cell r="AJ288" t="str">
            <v>to issue Step 1. Youssef replyed to Marina email from Alex 0n 18.04. Marina updated Step 1. Alex sent it to G&amp;T for costing. G&amp;T issued cost files on 31.07. TO for G&amp;T issued on 14.07. Youssef oked the cost. Alex - IntF. ok 
RPN issued Step 2 on 11.10.23.
SHP issued Step 3.
RPN issued revised cost to G&amp;T on 24.10.23. G&amp;T sent Sub BOQ on 17.11. RPN replied on 1.12. RPN replied to Chris email from 1.12. RPN replied to Clare email from 6.12 on 7.12.  G&amp;T to review. 
SHP to review the scope with RPN if revision or additional variation is needed.
RPN sent cost revision on 12.02. Cost AGREED on 20.02. SHP to issue. Sent on signature on 26.02.</v>
          </cell>
        </row>
        <row r="289">
          <cell r="A289" t="str">
            <v>R-VAR-0277</v>
          </cell>
          <cell r="C289" t="str">
            <v>BLDGS S1 AND AB: FIRE PROTECTION EXISTING WALL UPGRADE</v>
          </cell>
          <cell r="U289" t="str">
            <v>NA</v>
          </cell>
          <cell r="AJ289" t="str">
            <v>RPN to issue Step 2, SOMBP replied to RFI 1060. The rfi reply  raises additional works to be sent with instruction/revised step1. INS 271 issued on 16.06. SOMBP: to decide based on RPN responce if recabling is needed - to isssue an INS to revise a variation. G&amp;T to review step 2.
cost agreed on 11.07. SHP issue Step 3&amp;4, Alex confirmed external form. Sent on signature on 17.07.</v>
          </cell>
        </row>
        <row r="290">
          <cell r="A290" t="str">
            <v>R-VAR-0278</v>
          </cell>
          <cell r="C290" t="str">
            <v>BLDG S1: ACCESS TO PREVIOUS LIGHTWELLS</v>
          </cell>
          <cell r="U290">
            <v>1</v>
          </cell>
          <cell r="AJ290" t="str">
            <v>cost agreed on 18.08. SHP to issue Step 3&amp;4. sent on signature on 24.08.</v>
          </cell>
        </row>
        <row r="291">
          <cell r="A291" t="str">
            <v>R-VAR-0279</v>
          </cell>
          <cell r="C291" t="str">
            <v>GUIDING STRIPS CONNECTING BLDGS AC &amp; D LEVEL 3</v>
          </cell>
          <cell r="U291">
            <v>2</v>
          </cell>
          <cell r="AJ291" t="str">
            <v>cost agreed on 22.05. already on signature</v>
          </cell>
        </row>
        <row r="292">
          <cell r="A292" t="str">
            <v>R-VAR-0280</v>
          </cell>
          <cell r="C292" t="str">
            <v>BLDG B VOLT DROP</v>
          </cell>
          <cell r="U292">
            <v>2</v>
          </cell>
          <cell r="AJ292" t="str">
            <v>SOMBP issued  Step 1 to SHP on 05.06. Sent on signature on 12.06
RPN issued Step 2. G&amp;T to review.
Cost agreed on 29.09. SHP to issue Step 3&amp;4. Sent for signature on 11.10.</v>
          </cell>
        </row>
        <row r="293">
          <cell r="A293" t="str">
            <v>R-VAR-0281</v>
          </cell>
          <cell r="C293" t="str">
            <v>BUILDING D- 24V POWER SUPPLY</v>
          </cell>
          <cell r="U293">
            <v>1</v>
          </cell>
          <cell r="AJ293" t="str">
            <v>to issue Step 1. Alex - ok. Rosana ok. Sent on signature on 13.06.
cost agreed on 07.07. Sent on signature on 17.07</v>
          </cell>
        </row>
        <row r="294">
          <cell r="A294" t="str">
            <v>R-VAR-0282</v>
          </cell>
          <cell r="C294" t="str">
            <v>BUILDING D AND S2 - COOLING LOOP CONNECTION- See VAR 007 (DUPLICATE)</v>
          </cell>
          <cell r="U294" t="str">
            <v/>
          </cell>
          <cell r="AJ294" t="str">
            <v>PO for PMI 040 is issued. Will be included in VAR 007</v>
          </cell>
        </row>
        <row r="295">
          <cell r="A295" t="str">
            <v>R-VAR-0283</v>
          </cell>
          <cell r="C295" t="str">
            <v>BUILDING A - L01 - ACCESS TO STAIR 16 - CONCRETE HEIGHT AND RAISED FLOOR</v>
          </cell>
          <cell r="U295">
            <v>3</v>
          </cell>
          <cell r="AJ295" t="str">
            <v>SOMBP issued to G&amp;T on 25.05. G&amp;T issued cost on 05.06. SOM/B+P to check the scope per Antonella's comments. SHP to issue step 1 - Patrick F review ok. Sent on signature on 15.06.
RPN to issue Step 2 SOMBP issued stairs modification by email on 10.08 - Max and Sam oked this change.
SHP issued Step 3.
G&amp;T issued cost determination on 22.01. Variation determined on 22/01. RPN issued cost proposal on 23.01. G&amp;T step 3 issued 01/03. RPN reviewed on 03.06.  G&amp;T responded on 18.06 and revised cost on 08.07. RPN replied on 23.07. G&amp;T responded on 06.08. RPN to reply and RPN to provide electrical information / mark ups - not recieved, therefeor determined. G&amp;T sent cost determination on 15.08. No EoT agreed with Simone by Dean on 20.08. SHP to issue. Sent on signature on 21.08.</v>
          </cell>
        </row>
        <row r="296">
          <cell r="A296" t="str">
            <v>R-VAR-0284</v>
          </cell>
          <cell r="C296" t="str">
            <v>OCCASIONAL THERMOSTATIC VALVES REPLACEMENT</v>
          </cell>
          <cell r="U296" t="str">
            <v>CLOSED</v>
          </cell>
          <cell r="AJ296" t="str">
            <v>cost agreed on 13.06. sent on signature on 15.06</v>
          </cell>
        </row>
        <row r="297">
          <cell r="A297" t="str">
            <v>R-VAR-0285</v>
          </cell>
          <cell r="C297" t="str">
            <v>ROOM XVII FIRE ALARMS IN SYSTEM OPERATIONAL CENTER</v>
          </cell>
          <cell r="U297">
            <v>3</v>
          </cell>
          <cell r="AJ297" t="str">
            <v>cost agrred on 18.07. Sent on signature on 21.07.
SHP/Alex requested residual risk / contingency allocation checnge on 28.04. Marina updated forms on 29.04. SHP to issue.</v>
          </cell>
        </row>
        <row r="298">
          <cell r="A298" t="str">
            <v>R-VAR-0286</v>
          </cell>
          <cell r="C298" t="str">
            <v>BUILDING AC - INTERIOR AIR QUALITY MEASUREMENTS</v>
          </cell>
          <cell r="U298">
            <v>1</v>
          </cell>
          <cell r="AJ298"/>
        </row>
        <row r="299">
          <cell r="A299" t="str">
            <v>R-VAR-0287</v>
          </cell>
          <cell r="C299" t="str">
            <v>BLDG S2 ROOF LEVEL - CHANGES TO PLANTROOM S.501</v>
          </cell>
          <cell r="U299">
            <v>3</v>
          </cell>
          <cell r="AJ299" t="str">
            <v>SOMBP sent Step 1 to SHP review on 28.06. SHP to comment. Max is ok. Adma sent Step 1 to G&amp;T for costing on 14.08. G&amp;T issued cost files of 18.08 and 22.08. SOMPT uploaded Step 1 in PMWeb on 24.08. Benoit ok on 28.08. Youssef ok on 30.08. Sam oked on 08.09. SHP to issue Step 1. G&amp;T updated cost files on 30.08. Sent for signature on 05.09.
RPN not issued Step 2.
SHP issued Step 3.
RPN issued cost proposal on 21.03. SOMBP responded scope question from G&amp;T on 04.04.
G&amp;T send cost revision on 04.04 and 08.04. RPN responede on 02.05. G&amp;T reviewed on 13.05. RPN responded on 14.05. G&amp;T responded on 15.05. RPN disagrees on 15.05. G&amp;T reacted on 15.05. Cost AGREED on 21.06. SHP to issue. Sent on signature on 24.06.</v>
          </cell>
        </row>
        <row r="300">
          <cell r="A300" t="str">
            <v>R-VAR-0288</v>
          </cell>
          <cell r="C300" t="str">
            <v>BLDG S1 LB 1 - MEDICAL CENTER</v>
          </cell>
          <cell r="U300" t="str">
            <v>TOP</v>
          </cell>
          <cell r="AJ300" t="str">
            <v>SOMBP issued Step 1 to G&amp;T on 14.09. G&amp;T issued cost files on 25.09, 26.09. SOMBP uploaded to PMWeb on 28.09. SHP to issue Step 1. G&amp;T - made expedited cost files on 02.10. Zeynep oked on 03.10. Cedric checked on 06.10. Sent on signature on 09.10.
RPN issued Step 2. 
SHP to issue Step 3 - on hold.
RPN issued step 2 revised on 31/10, including pricing document and TIA.
SOMBP provided comments on 2.11. Zynep provided SHP comment on 7.11. 
RPN reissued Step 2 cost per comments on 10.11. G&amp;T reviewed on 13.11. RPN responded on 13.11. G&amp;T reviewed on 15.11. 
SHP to issue Step 3. Sent for signature on 14.11.
Cost agreed on 17.11. SHP to issue Step 4. Sent for signature on 27.11</v>
          </cell>
        </row>
        <row r="301">
          <cell r="A301" t="str">
            <v>R-VAR-0289</v>
          </cell>
          <cell r="C301" t="str">
            <v>EMERGENCY SIGNAGE AND LIGHTING UPDATE AB / B</v>
          </cell>
          <cell r="U301">
            <v>1</v>
          </cell>
          <cell r="AJ301" t="str">
            <v>to issue Step 1. Sam - to review. Sam - ok on 06.07. Sent on signature on 07.07.
RPN to issue Step 2. RFI on-going - INS 299 issued on 31/08. G&amp;T issued step 3 on 17.10. 
SOMBP issued new revision on 20.10. SHP issued as INS 330 on 9.11.
RPN to respond.
SHP issed Step 3.
SOMBP to confirm scope to G&amp;T per email on 21.11, SOMBP replied 22.11. G&amp;T asked additional questions on 23.11. SOMBP responded on 23.11 - INS 214 to include in VAR 289 scope. G&amp;T to review and SOMBP to confirm to G&amp;T per email from Billy to Lucille on 27.11 - G&amp;T issued revised cost on 29.11. RPN sent cost 2.1 to G&amp;T on 6.12. G&amp;T reviewed on 14.12. RPN to respond. RPN to submit the coordinated RCPs based on the commented electrical drawings. Scope agreed on 09.04. Signage in A.598-2 added on 15.04. RPN revised cost on 25.04. Signage in Corridor CH-A3 added on 16.05. G&amp;T cost DETERMINED on 07.06. SHP to issue Step 4. G&amp;T added cost difference on 21.06. Sent on signature on 24.06.
G&amp;T revised cost per Amendment 7 and Patrick F email from 30.10.2024. on 31.10. SHP to issue.</v>
          </cell>
        </row>
        <row r="302">
          <cell r="A302" t="str">
            <v>R-VAR-0290</v>
          </cell>
          <cell r="C302" t="str">
            <v>CHANGE FROM FCU TO CLIMATE CABINETS</v>
          </cell>
          <cell r="U302">
            <v>4</v>
          </cell>
          <cell r="AJ302" t="str">
            <v>SHP issueed Instruction, G&amp;T updated pricing document based on INS 266. pricing doc is on pmweb in ZIP folder. RPN to issue Step 2. RPN ordered climat cabinet in Section S1. Agreement on time on 14.08 (EoT up to 30-01-24). G&amp;T to review the cost of Step 2.
Cost agreed on 04.09. SHP to issue Step 3&amp;4.</v>
          </cell>
        </row>
        <row r="303">
          <cell r="A303" t="str">
            <v>R-VAR-0291</v>
          </cell>
          <cell r="C303" t="str">
            <v>BLDG. S1 AND C - LOUNGE CARPET INSERT</v>
          </cell>
          <cell r="U303" t="str">
            <v/>
          </cell>
          <cell r="AJ303" t="str">
            <v>SOMBP issued Step 1. SHP ossied Step 1 on 15.05. 2023.
RPN didn't issue Step 2.
SHP issued Step 3 on 15.11.2023.
RPN issued cost proposal on 12.01.24. G&amp;T reviewed on 17.01. RPN responded on 17.01. G&amp;T requested info on 17.01. RPN provided on 17.01. G&amp;T responded on 22.01. Cost AGREED on 22.01. G&amp;T Step1-4 issued on 23.01. SOMBP provided cost comments on 31.01. Variation withdrawn - works are not obligatory and have a lot of abortive works. SHP to issue Step 3 rev 1 - sent on signautre on 08.02.</v>
          </cell>
        </row>
        <row r="304">
          <cell r="A304" t="str">
            <v>R-VAR-0292</v>
          </cell>
          <cell r="C304" t="str">
            <v>LIGHTNING PROTECTION MODIFICATIONS (CDP)</v>
          </cell>
          <cell r="U304">
            <v>5</v>
          </cell>
          <cell r="AJ304" t="str">
            <v>SOMBP sent Step 1 to G&amp;T on 13/09. G&amp;T issued cost files on 15.09. SOMBP uploaded to PMWeb on 26.09. Rosana oked on 02.10. SHP to issue Step 1.  Sent for signature on 04.10.
RPN not issued Step 2.
SHP issued Step 3.
RPN sent drawings on 19.07. SOMBP commented on 28.07. RPN issueed commercial proposal on 18.09.2024. 
RPN shared option 2 drawings with SOMBP for checking on 23.09. SOMBP provided drawings comments on 01.10. G&amp;T provided cost comments on 11.10. SHP called scope meeting to discuss 2nd option with SOMBP and RPN on 14.10. RPN ha SBIS meeting on 14.11. SOMBP to provide drawings for c.	Distances between falls on other facades are to be fixed according to the rule of 10m+20% max - done on 22.11. SOMBP revised Step 3 uploaded on 22.11. SHP/Cedric K oked on 26.11. SHP to issue.
Commercial proposal will be issued after technical changes finalised by RPN - in 2025, 01.05 - com proposal is coming - sent on 05.01. Meeting on 07.05. RPN shared drawings on 07.05 and datasheets on 05.06. G&amp;T assessed on 24.06. RPN responded on 26.06. G&amp;T to reply. SOMBP to check drawings - RPN to provide details from Leman Paratonnerres - technical scope completed per 17.11.2025. SOMBP to issue INS and RPN ot perform mockups with DayWork.
RPN to provide schedule of works.</v>
          </cell>
        </row>
        <row r="305">
          <cell r="A305" t="str">
            <v>R-VAR-0293</v>
          </cell>
          <cell r="C305" t="str">
            <v>BLDG S1- VARIOUS LIGHTING QUESTIONS RFI989-A</v>
          </cell>
          <cell r="U305">
            <v>2</v>
          </cell>
          <cell r="AJ305" t="str">
            <v>Step 1 sent to G&amp;T for costing on 08.08. G&amp;T issued cost files on 15.08. SOMBP uploaded to PMWeb on 24.08 Benoit - ok on 28.08. SHP to issue Step 1. Sent for signature on 28.08.
RPN to issue Step 2.
SHP to issue Step 3.
RPN issued cost proposal on 24.11. G&amp;T reviewed on 4.12. RPN responded on 21.12. G&amp;T reviewed on 10.01. RPN responded on 29.01. Cost agreed on 31.01. SHP to issue - first G&amp;T to update cost file per Alex request. Sent on signature on 06.02.</v>
          </cell>
        </row>
        <row r="306">
          <cell r="A306" t="str">
            <v>R-VAR-0294</v>
          </cell>
          <cell r="C306" t="str">
            <v>LOCKING SYSTEM FOR EXISTING DOORS ON ESCAPE ROUTES</v>
          </cell>
          <cell r="U306">
            <v>3</v>
          </cell>
          <cell r="AJ306" t="str">
            <v>SOMBP sent Step 1 to G&amp;T on 05.06. G&amp;T issued cost files on 20.06. SOMBP uploaded in PMWeb on 20.06. Sam - ok on 06.07. Sent on signature on 07.07.
RPN to issue Step 2
SHP issued Step 3.
G&amp;T sent cost determination on 22.01. SHP to issue Step 4 determination. RPN issued cost proposal on 29.01. Cost AGREED on 13.02. SHP to issue. Sent for signature on 14.02.</v>
          </cell>
        </row>
        <row r="307">
          <cell r="A307" t="str">
            <v>R-VAR-0295</v>
          </cell>
          <cell r="C307" t="str">
            <v>DOOR BETWEEN THE ROOMS A.140 AND A142 IN THE LEVEL 1 IN THE BLDG A</v>
          </cell>
          <cell r="U307" t="str">
            <v>CLOSED</v>
          </cell>
          <cell r="AJ307" t="str">
            <v>cost agreed on 22.06. SHP to issue Step 3&amp;4. Sent on signature on 30.06</v>
          </cell>
        </row>
        <row r="308">
          <cell r="A308" t="str">
            <v>R-VAR-0296</v>
          </cell>
          <cell r="C308" t="str">
            <v>TO DISMANTLE THE TWO DUCTS IN PLANT ROOM A.130 FOR PASSING THE HP IN THE PLANT ROOM A.142</v>
          </cell>
          <cell r="U308">
            <v>3</v>
          </cell>
          <cell r="AJ308" t="str">
            <v>Youssef to reply Clare email form 20.06 - replied on 26.06. G&amp;T to review Step 2 - comments issued on 27.06.Cost agreed on 20.07. Sent for signature on 26.07.</v>
          </cell>
        </row>
        <row r="309">
          <cell r="A309" t="str">
            <v>R-VAR-0297</v>
          </cell>
          <cell r="C309" t="str">
            <v>COUR D'HONNEUR SOUTH ESCAPE ROUTE FROM BLDG A</v>
          </cell>
          <cell r="U309">
            <v>1</v>
          </cell>
          <cell r="AJ309" t="str">
            <v>issued to SHP on 09.06. Max on 14.06. SOMBP added lights on stairs on 26.06. G&amp;T updated the cost on 29.06. SOMBP uploaded on 29.06. Alex, Benoit, Max - ok. sent on signature on 06.07.
RPN issued Step 2. G&amp;T reviewed on 03.10.
SHP to issue Step 3.  Sent for signature on 13.10.
RPN agreed the cost assesment with G&amp;T on 17/10. G&amp;T issued final cost file to SHP on 20.10.
SHP to issue Step 4. Sent for signature on 25.10. 
0n 23.06.2025 Jessica/RPN sent a message that MAM/SHP approved marble stairs and vr shoudl be revised. SHP to check.</v>
          </cell>
        </row>
        <row r="310">
          <cell r="A310" t="str">
            <v>R-VAR-0298</v>
          </cell>
          <cell r="C310" t="str">
            <v>A426 ASSEMBLY HALL AV TECHNICAL ROOM</v>
          </cell>
          <cell r="U310">
            <v>2</v>
          </cell>
          <cell r="AJ310" t="str">
            <v>SHP issued PMI 59. SOMBP sent draft to G&amp;T and SHP on 12.07. G&amp;T issued cost files on 13.07. Rosana, Youssef  - ok on cost. Cedric - Prices are too high - to discuss with Patrick V. Cedric - sent comments to G&amp;T on 17.07. G&amp;T issued cost update on 17.07. G&amp;T updated cost on 27.07. Final cost shared with SHP on 09.08. SHP to issue Step 1. Sent for signatuer on 15.08.
RPN issued Step 2. TIA is preliminary agreed. G&amp;T reviewed on 06.10.
SHP to issue Step 3. Sent for signature on 06.10.
RPN issued step 2 revised on 23.10.  G&amp;T revised step 3 issued 07/11. RPN organised a meeting on 4.12. 
RPN - missing Eggtelsa justifications: Djessica will organize a meeting with Calum as soon she will be able to clarify the point Eggtelsa have added to the pricing document that G&amp;T do not agree.
06/12/23: Dedicated meeting proposed by RPN for 07/12/23. RPN sent revised cost on 7.12. G&amp;T revised on 20.12. RPN reviewed on 20.12. G&amp;T reviewed on 21.12. RPN replied on 21.12. G&amp;T responded on 21.12. Cost AGREED on 12.01. SHP to issue Step 4. Sent for signature on 23.01.</v>
          </cell>
        </row>
        <row r="311">
          <cell r="A311" t="str">
            <v>R-VAR-0299</v>
          </cell>
          <cell r="C311" t="str">
            <v>BLDGS A, C, S - MEETING ROOM AV EQUIPMENT</v>
          </cell>
          <cell r="U311" t="str">
            <v>NOT ASSESSED</v>
          </cell>
          <cell r="AJ311" t="str">
            <v>SOMBP to issue Step 1. G&amp;T issued cost on 24.05, 01.06. Zeynep/Max/Sam to reply email from Patrcik V on 08.05. SOMBP uploaded to PMWeb on 02.06. SOMBP has a different execution from the submitted plans in rooms 325 and 525 - Drawings are not good: at least one room booking system scree is missing and another one is to be shifted. New changes are to be implemented in D building. Patrick V sent clarification to SOMBP on 11.07. SOMBP to revise Step 1. G&amp;T to add new AV equipment for the room S.48 into cost files - revised cost sent to SOMBP on 28.07. Stephanie - revised Step 1 ok. Patrick V  oked revised Step 1. Alex - IntF ok. Sent for signature on 10.08.
RPN issued step 2 on 27/10.
SHP issued Step 3.
RPN issued Step 2 cost revision on 2.11. G&amp;T reviewed RPN cost on 8.11. RPN to respond.
SOMBP prepared a rev 1 based on email from Patrick V from 29.11 on 30.11. Marina redrafted as Instruction 352 on 5.12. Patrick V reviewed on 7.12. SHP issued INS 352 on 22.02.2024. G&amp;T found an error on 15.12 - Patrick replied on 18.12 Marco checked. Stefano updated INS 352 on 26.01. Patrick V - Rooms A.509-2, A.509-1 and A.212 are not included into VAR299 because these have been already commissioned.
RPN sent EggT comments to G&amp;T on 29.01. G&amp;T revised the cost per INS 352 on 22.02. RPN responded on 26.02 - cost AGREED. G&amp;T sent final cost file to SHP on 01.03. SHP to issue. Snet on singature on 11.03.
RPN wants to check if the scope of INS 352 is included in Step 4.</v>
          </cell>
        </row>
        <row r="312">
          <cell r="A312" t="str">
            <v>R-VAR-0300</v>
          </cell>
          <cell r="C312" t="str">
            <v>FIRE DAMPER INSTALLATION IN TOILETS</v>
          </cell>
          <cell r="U312">
            <v>3</v>
          </cell>
          <cell r="AJ312" t="str">
            <v>to issue Step 1. G&amp;T issued cost on 20.06. SOMBP uploaded on PMWeb on 21.06. SOMBP to check damper quantities per Marina email from 21.06. G&amp;T sent updated cost on 12.07. SOMBP sent updated Step 1 on 13.07. Sam oked on 08.09. Youssef reviewed on 11.09 with cost comments. Clare revised cost on 19.09. Sent on signature on 19.09.
RPN to issued Step 2 on 14/11. G&amp;T sent cost assessment to RPN on 27.11. RPN replied on 28.11. G&amp;T response issued 02.01, RPN to review.
SHP issued Step 3.
RPN sent cost revision on 08.01. G&amp;T reviewed on 17.01. RPN responded on 22.01. G&amp;T replied on 22.01. RPN responded on 22.01. Cost AGREED on 31.01. SHP to issue - G&amp;T to update cost file per Alex request. Sent on signature on 06.02.</v>
          </cell>
        </row>
        <row r="313">
          <cell r="A313" t="str">
            <v>R-VAR-0301</v>
          </cell>
          <cell r="C313" t="str">
            <v>MASTERKEY STRATEGY</v>
          </cell>
          <cell r="U313">
            <v>3</v>
          </cell>
          <cell r="AJ313" t="str">
            <v>to issue Step 1. Max - drafted Step 1 on 10.07. Sent to G&amp;T for costing. G&amp;T sent cost files on 21-sep. SHP to issue Step 1. Sent for signature on 27.09.
RPN to issue Step 2.
SHP to issue Step 3. Sent for signature on 14.11.
RPN issued cost proposal on 08.05. G&amp;T assessed on 24.05. RPN to respond.
G&amp;T sent determination on 05.07. SHP to issue. First G&amp;T revised excel on 23.07. Sent on signature on 25.07.
Key log submitted by RPN on 09.08.
RPN resubmitted commercial proposal on 26.08. Meeting on 26.07 - SHP/Max assessed scope, remove - Allowance for additional keys required, RPN to provide proposal for cost rate split for: Allowance to remove lock barrels, Allowance to install new lock barrels. RPN refused cost split on 19.09. Meeting on 23.09. RPN updated cost on 24.09. RPN to update the cost.</v>
          </cell>
        </row>
        <row r="314">
          <cell r="A314" t="str">
            <v>R-VAR-0302</v>
          </cell>
          <cell r="C314" t="str">
            <v>PRESS ROOM VENTILATION EXTRACTION GRILLS -  ON HOLD UNTIL FURTHER NOTICE FROM RPN</v>
          </cell>
          <cell r="U314" t="str">
            <v/>
          </cell>
          <cell r="AJ314" t="str">
            <v>no variation for press room grills. Because RPN have a part of responsibility speed velocity in the duct</v>
          </cell>
        </row>
        <row r="315">
          <cell r="A315" t="str">
            <v>R-VAR-0303</v>
          </cell>
          <cell r="C315" t="str">
            <v>BUILDING S - BMS PANEL</v>
          </cell>
          <cell r="U315">
            <v>3</v>
          </cell>
          <cell r="AJ315" t="str">
            <v>SOMBP sent Step 1 to G&amp;T on 22.11. Var is ready, awaiting SHP’s decision about climate controle sdcK4 and RPN’s information about 2 fans to replace. Step 0 scope meeting to be arranged by G&amp;T to achieve final scope sign off prior to G&amp;T Step 1 costing.  SOMBP sent cost clarification to Clare on 12.12. SOMBP clarified per Clare's email from 20.12. G&amp;T sent cost on 21.12. G&amp;T to confirm cost per email from Cedirc E on 22.12 - Clare sent update on 2.01.24. SOMBP uploaded on 8.01. Saber oked on 10.01. SHP to issue. Sent for signature on 10.01.
RPN issued Step 2. G&amp;T reviewed on 26.01.
SHP issued Step 3.
RPN replied on cost on 26.01. G&amp;T sent cost on 05.02. RPN to reply.
Cost AGREED on 19.02. SHP to issue Step 4. Sent on signature on 26.02.</v>
          </cell>
        </row>
        <row r="316">
          <cell r="A316" t="str">
            <v>R-VAR-0304</v>
          </cell>
          <cell r="C316" t="str">
            <v>BUILDING C - ELECTRICAL DISTRIBUTION AND CABLE TRAY ALL LEVELS</v>
          </cell>
          <cell r="U316">
            <v>2</v>
          </cell>
          <cell r="AJ316" t="str">
            <v>SOMBP sent Step 1 on 16.02. G&amp;T costed on 12.03.SOMBP uploaded on 13.03. SHP to issue. Sent on signature on 19.03.
RPN didn't issue Step 2.
SHP issued Step 3.
RPN to issue commercial proposal. 
G&amp;T sent determination on 05.07. SHP to issue Step 4 determination. Sent on signature on 12.07.</v>
          </cell>
        </row>
        <row r="317">
          <cell r="A317" t="str">
            <v>R-VAR-0305</v>
          </cell>
          <cell r="C317" t="str">
            <v>HEAT PUMP CASCADE / REDUNDANCY FOR BMS SYSTEM FOR ENERGY CENTER</v>
          </cell>
          <cell r="U317">
            <v>1</v>
          </cell>
          <cell r="AJ317" t="str">
            <v>Alex sent details to Clare on 07/06. Youssef replied to Clare question from 19.06 on 27.06. G&amp;T issued cost on 06.07. Sent on signature on 11.07.
RPN issued Step 2. G&amp;T reviewed on 12.10. RPN responded on 13.10.  RPN replied on 9.11. G&amp;T replied on 17.11.
SHP to issue Step 3.  Sent for signature on 13.10.
RPN sent cost 2.2 to G&amp;T on 22.11. G&amp;T to review - first SOMBP to review the scope per Clare email from 5.12 - SOMBP services for energy centre are limited to the concept design and we are not involved in TD.
G&amp;T to determine. Youssef reviewed the scope per Clare email from 5.12 on 12.12.
RPN to reply to G&amp;T cost sent on 5.12. RPN replied on 5.12. 
RPN to revise cost per Youssef comments - sent on 19.12. G&amp;T to review - Youssef oked quantities on 19.12.
Cost AGREED on 20.12. SHP to issue Step 4. Sent on signature on 21.12.</v>
          </cell>
        </row>
        <row r="318">
          <cell r="A318" t="str">
            <v>R-VAR-0306</v>
          </cell>
          <cell r="C318" t="str">
            <v>TO REPLACE THE EXISTING PLENUM GRILLE BY CONE PLENUM ACCORDING TO THE MOCK-UP</v>
          </cell>
          <cell r="U318">
            <v>1</v>
          </cell>
          <cell r="AJ318" t="str">
            <v>G&amp;T to review step 2. G&amp;T sent a question on 04.07 - Youssef responded on 20.07. Cost agreed on 31.07. Sent on signature on 10.08.</v>
          </cell>
        </row>
        <row r="319">
          <cell r="A319" t="str">
            <v>R-VAR-0307</v>
          </cell>
          <cell r="C319" t="str">
            <v>BLDG AC - PLANTROOM C.045 DESIGN UPDATE</v>
          </cell>
          <cell r="U319" t="str">
            <v>TOP</v>
          </cell>
          <cell r="AJ319" t="str">
            <v>RPN issued Step 2
G&amp;T assessed on 12.06. 
SHP issued Step 3.
RPN responded on G&amp;T assessment on 19.08. G&amp;T reviewed on 28.08. Meeting on 29.08. RPN provided drawings on 29.08. G&amp;T cost update provided 28/08/24. RPN revised assessment on 03.09. SHP confirmed no scope impact by NCF on 05.09. G&amp;T replied on 09.09. RPN responded on 12.09. G&amp;T revised the cost on 13.09. RPN responded on 13.09. G&amp;T replied on 24.09 and revised on 24.09. G&amp;T sent determination on 01.10. SHP to issue. Sent on signature on 02.10.</v>
          </cell>
        </row>
        <row r="320">
          <cell r="A320" t="str">
            <v>R-VAR-0308</v>
          </cell>
          <cell r="C320" t="str">
            <v>BLDG AC - PLANTROOM A.417 DESIGN UPDATE</v>
          </cell>
          <cell r="U320" t="str">
            <v>TOP</v>
          </cell>
          <cell r="AJ320" t="str">
            <v>RPN issued Step 2
G&amp;T assessed on 12.06. 
SHP issued Step 3.
RPN responded on G&amp;T assessment on 19.08. G&amp;T reviewed on 28.08. Meeting on 29.08. RPN provided drawings on 29.08. G&amp;T cost update provided 28/08/24. RPN revised assessment on 03.09. SHP confirmed no scope impact by NCF on 05.09. G&amp;T replied on 09.09. RPN responded on 12.09. G&amp;T revisreplied on 24.09. G&amp;T sent determination on 01.10. SHP to issue. Sent on signature on 03.10.</v>
          </cell>
        </row>
        <row r="321">
          <cell r="A321" t="str">
            <v>R-VAR-0309</v>
          </cell>
          <cell r="C321" t="str">
            <v>BLDG AC - PLANTROOM V9 DESIGN UPDATE</v>
          </cell>
          <cell r="U321" t="str">
            <v>TOP</v>
          </cell>
          <cell r="AJ321" t="str">
            <v>SOMBP to check if NCF should be opened - no need.
RPN issued Step 2.
G&amp;T assessed on 12.06.
SHP issued Step 3.
RPN responded on G&amp;T assessment on 19.08. G&amp;T reviewed on 28.08. Meeting on 29.08. RPN provided drawings on 29.08. G&amp;T cost update provided 28/08/24 and 03.09. RPN responded on 03.09. G&amp;T replied on 09.09. RPN responded on 12.09. G&amp;T revised the cost on 13.09. RPN responded on 13.09. G&amp;T replied on 24.09. G&amp;T sent determination on 01.10. SHP to issue. Sent on signature on 03.10.</v>
          </cell>
        </row>
        <row r="322">
          <cell r="A322" t="str">
            <v>R-VAR-0310</v>
          </cell>
          <cell r="C322" t="str">
            <v>PROJECT DIAGNOSTIC - PROPOSAL FOR PHASE 1 LEAN SUPPORT</v>
          </cell>
          <cell r="U322">
            <v>5</v>
          </cell>
          <cell r="AJ322" t="str">
            <v>RPN to issue Step 2. 
SHP to issue Step 3.
RPN issued cost proposal on 22.01. RPN uploaded cost on 26.01 to PMWeb. G&amp;T issued to SHP for review. SHP to provide feedback so G&amp;T can progress with RPN. G&amp;T sent cost to RPN on 10.02. RPN responded on 14.02 and 28.02. G&amp;T replied on 29.02. RPN cost AGREED on 29.02. G&amp;T disagrees with travel cost. RPN respond that travel cost were already agreed in previous variation, there should be no more issue to agree. G&amp;T sent cost update on 22.03. RPN cost AGREED on 22.03. SHP to issue. Sent on signature on 12.04.
SHP to issue Step 4 Rev 1. Sent on signature on 12.07.</v>
          </cell>
        </row>
        <row r="323">
          <cell r="A323" t="str">
            <v>R-VAR-0311</v>
          </cell>
          <cell r="C323" t="str">
            <v>BMS AFTERCARE SERVICES</v>
          </cell>
          <cell r="U323">
            <v>3</v>
          </cell>
          <cell r="AJ323" t="str">
            <v>to issue Step 1. Not linked to SC. Cedric - to draft step 1
Workshop to be organized between RPN, FMS and SHP to finalize the aftercare services scope.  On hold. It will depend on the results of the energy metering variation - RPN feedback expected end of 2026. If everything is solved through the metering one, VAR 311 will be canceled.</v>
          </cell>
        </row>
        <row r="324">
          <cell r="A324" t="str">
            <v>R-VAR-0312</v>
          </cell>
          <cell r="C324" t="str">
            <v>BLDG AC SALLE IX BOOTHS SDN DOOR</v>
          </cell>
          <cell r="U324">
            <v>3</v>
          </cell>
          <cell r="AJ324" t="str">
            <v>G&amp;T issued cost file on 18.10. SOMBP uploaded to PMWeb on 18.12. SHP to issue Step 1. Sent for signature on 20.12.
RPN to issue Step 2.
SHP issued Step 3. RPN issued cost proposal on 21.03.2025. G&amp;T cost AGREED on 03.04. SHP to issue. Sent on signature on 22.04.</v>
          </cell>
        </row>
        <row r="325">
          <cell r="A325" t="str">
            <v>R-VAR-0313</v>
          </cell>
          <cell r="C325" t="str">
            <v>BMS SUPERVISION WITH NIAGARA TRIDIUM</v>
          </cell>
          <cell r="U325">
            <v>5</v>
          </cell>
          <cell r="AJ325" t="str">
            <v>SHP to send instruction - after rpn to issue Step 2. Step 2 issued.
G&amp;T revised cost on 15.09. RPN revised on 22.09.
G&amp;T responded with cost agreement on 26.09. G&amp;T issued final files to SHP on 26.09.
Cost agreed on 26.09. SHP to issue Step 3&amp;4. Marina added Internal Form. Sent for signature on 12.10.</v>
          </cell>
        </row>
        <row r="326">
          <cell r="A326" t="str">
            <v>R-VAR-0314</v>
          </cell>
          <cell r="C326" t="str">
            <v>BLDG S - URGENT DAYWORK - FIBRE AND CABINET RELOCATION</v>
          </cell>
          <cell r="U326">
            <v>3</v>
          </cell>
          <cell r="AJ326" t="str">
            <v>to issue Step 1. Dragos - ok. Sent for signature on 12.06.
G&amp;T issued Step 3 on 27.09 - cost agreed. G&amp;T sent final cost agreed file on 05.10.
SHP to issue Step 3&amp;4. Sent for signature on 11.10.</v>
          </cell>
        </row>
        <row r="327">
          <cell r="A327" t="str">
            <v>R-VAR-0315</v>
          </cell>
          <cell r="C327" t="str">
            <v>BLDG S1 - SMOKE SYSTEM COMMAND AND EMERGENCY PUSH BUTTOM POSITIONS</v>
          </cell>
          <cell r="U327" t="str">
            <v/>
          </cell>
          <cell r="AJ327" t="str">
            <v>VAR cancelled, no longer needed.</v>
          </cell>
        </row>
        <row r="328">
          <cell r="A328" t="str">
            <v>R-VAR-0316</v>
          </cell>
          <cell r="C328" t="str">
            <v>BUILDING S1- EXISTING SOCKETS</v>
          </cell>
          <cell r="U328">
            <v>1</v>
          </cell>
          <cell r="AJ328" t="str">
            <v>SOMBP issued on 16.08. SHP to issue to RPN - first SOMBP to reply Marina's questions from 17.08. SOMBP uploaded Rev 01 on 07.09. SHP to issue Step 1 - first SOMBP to reply Marina's questions from 11.09.SOMBP have uploaded REV01 of VAR 316 on 07.09. to PMWeb. Benoit - oked on 11.09. Sent on signature on 19.09.
RPN to issued Step 2 on 12/10/2023. G&amp;T revised on 30.10. RPN replied on 1.11. G&amp;T responded on 13.11.
SHP to issue Step 3.
RPN sent cost to G&amp;T on 24.11. G&amp;T responded on 28.11. RPN agrred cost on 28.11. G&amp;T issued final cost file to SHP on 28.11. SHP to issue Step 4. Sent for signature on 1.12.</v>
          </cell>
        </row>
        <row r="329">
          <cell r="A329" t="str">
            <v>R-VAR-0317</v>
          </cell>
          <cell r="C329" t="str">
            <v>BUILDING S1- SMOKE DETECTOR IN THE CRAWL SPACE</v>
          </cell>
          <cell r="U329">
            <v>2</v>
          </cell>
          <cell r="AJ329" t="str">
            <v>step 1 sent to G&amp;T for costing on 14.06. SOMBP uploaded to PMWeb on 21.06. Sam ok on 06.07. Sent on signature on 07.07.
G&amp;T reviewed Step 2 on 12.09. RPN to respond.
Cost agreed on 26.09. SHP to issue Step 3&amp;4. Sent for signature on 11.10.</v>
          </cell>
        </row>
        <row r="330">
          <cell r="A330" t="str">
            <v>R-VAR-0318</v>
          </cell>
          <cell r="C330" t="str">
            <v>NEW BADGE READER IN BUILDING AC LEVEL D DOOR AC_GS_001_LS</v>
          </cell>
          <cell r="U330">
            <v>3</v>
          </cell>
          <cell r="AJ330" t="str">
            <v>26.05. G&amp;T issued cost files on 06.06. Sent on signature on 12.06.  
Zeynep replied to mail on scope on 19.09. RPN to issue Step 2.
SHP to issue Step 3.
RPN issued cost proposal on 13/12. G&amp;T reviewed on 5.01. Cost AGREED on 26.01. SHP to issue Step 4. Sent on signature on 01.02.</v>
          </cell>
        </row>
        <row r="331">
          <cell r="A331" t="str">
            <v>R-VAR-0319</v>
          </cell>
          <cell r="C331" t="str">
            <v>ENERGY CENTER -GAS LEAK TEMPORARY MANAGEMENT</v>
          </cell>
          <cell r="U331">
            <v>2</v>
          </cell>
          <cell r="AJ331" t="str">
            <v>Youssef drafted Step 1 on 30.08. Step 1 sent to G&amp;T for costing on 31.08. Changed to RFP, no need for cost files. Sent for signature on 04.09.
RPN issued Step 2 on 08/11/23.
G&amp;T reviewed the cost - Youssef provided scope clarification to Calum on 27.11, and sent to RPN on 30.11. RPN to reply.
SHP to issue Step 3.
Scope for making the energy centre a fire compartment to be clarified, this was in the contract requirements as a CDP for the energy centre but is being claimed by RPN. Confirmation that only the consequences of the tower not being demolished should be included required. 
RPN issued cost revision to G&amp;T on 12.12. G&amp;T reviewed on 3.01.24. Patrick F confirmed addition of the FLS works on 16.01. G&amp;T revised the cost on 23.01. RPN responded on 24.01 and 01.02, and sent additional info on 08.02. G&amp;T reviewed on 09.02. RPN responded on 16.02. G&amp;T reviewed on 26.02. RPN responded cost AGREED on 26.02. G&amp;T sent cost file to SHP on 01.03. SHP to issue. Sent on sinature on 11.03.</v>
          </cell>
        </row>
        <row r="332">
          <cell r="A332" t="str">
            <v>R-VAR-0320</v>
          </cell>
          <cell r="C332" t="str">
            <v>MASTERKEY STRATEGY</v>
          </cell>
          <cell r="U332">
            <v>3</v>
          </cell>
          <cell r="AJ332" t="str">
            <v>step 1 drafted by Max on 10.07. Sent to G&amp;T for costing on 11.07. G&amp;T sent cost files on 21-sep. SHP to issue Step 1. Sent on signature on 02-oct.
RPN to issue Step 2. RPN asked to the client for a technical meeting.
SHP to issue Step 3. Sent for signature ono 14.11.
Max sorted out letter for RPN on 11.0.1. RPN  issued cost proposal - waiting for RPN sub - on 08.05. G&amp;T assessed on 24.05. RPN to respond.
G&amp;T sent determination on 05.07. SHP to issue Step 4 determination. First G&amp;T revised excel on 23.07. Sent on signature on 25.07.
RPN submitted revision of commercial proposal on 26.08. Meeting on 26.07 - SHP/Max assessed scope, remove - Allowance for additional keys required, RPN to provide proposal for cost rate split for: Allowance to remove lock barrels, Allowance to install new lock barrels - RPN refused cost split on 19.09. Meeting held on 23.09. RPN updated cost on 24.09. RPN to revise the cost.</v>
          </cell>
        </row>
        <row r="333">
          <cell r="A333" t="str">
            <v>R-VAR-0321</v>
          </cell>
          <cell r="C333" t="str">
            <v>BUILDING AC - EXHAUST GENERATOR FAN ROOM A13</v>
          </cell>
          <cell r="U333">
            <v>1</v>
          </cell>
          <cell r="AJ333" t="str">
            <v>SOMBP uploaded Step 1 to PMWeb on 24.08. Youssef ok on 28.08. SHP to issue Step 1. Sent for signature on 29.08.
RNP issued Step 2 on 12/10/23.
G&amp;T issue cost assessment on 18.10. RPN responded on 3.11. 
SHP to issue Step 3. Sent for signature on 01.11.
G&amp;T sent scope clarification request to SOMBP on 14.11 - SOMBP replied on 14.11.
G&amp;T sent cost clarification request to RPN on 14.11, and 20.11 - RPN replyed on 20.11 accepting the cost. G&amp;T issued final cost files on 27.11. SHP to issue. Ssent on signature on 29.11</v>
          </cell>
        </row>
        <row r="334">
          <cell r="A334" t="str">
            <v>R-VAR-0322</v>
          </cell>
          <cell r="C334" t="str">
            <v>BLDG C L00 PRESS BAR CEILING CHANGES</v>
          </cell>
          <cell r="U334">
            <v>4</v>
          </cell>
          <cell r="AJ334" t="str">
            <v>to issue Step 1. Sent for costing to G&amp;T on 09.06. Cost sent on 12.06, 07.07. Max is ok. SOMBP sent cost comments to G&amp;T on 27.06 and 06.07. SOMBP uploaded on 07.07. Sent on signature on 17.07.
G&amp;T reviewed step 2 on 19.09. RPN came back on 11.10. G&amp;T reviewed on 17.10. RPN agreed the cost on 17.10. SHP to issue Step 3&amp;4. Sent for signature on 25.10</v>
          </cell>
        </row>
        <row r="335">
          <cell r="A335" t="str">
            <v>R-VAR-0323</v>
          </cell>
          <cell r="C335" t="str">
            <v>BUILDING A- L09 SLAB FIRE PROTECTION</v>
          </cell>
          <cell r="U335" t="str">
            <v>CLOSED</v>
          </cell>
          <cell r="AJ335" t="str">
            <v>SOMBP sent Step 1 for costing on 16.06. G&amp;T issued cost files on 30.06. SOMBP uploaded on 07.07. Sam sent comment on 11.08. Dominic replied on 17.08. Sam provided additional comments on 17.08. Andrei advise to completely remove the metal floor elements (both sides) and redo the slab properly. SOMBP/Stephanie to decide and adjust variation. Client has decided to implement concrete slab solution. SOMBP finalized VAR on this basis. SOMBP sent step 1 to G&amp;T costing on 14.09. G&amp;T issued cost files on 22.09. SOMBP uploaded to PMWeb on 25.09. SHP to issue. Sam oked on 26.09. SOMBP sent revised step 1 on 17.10. G&amp;T issued expedited files on 27.10. SHP to issue. G&amp;T to revise cost per Alex email on 31.10 - revised on 1.11. Sent for signature on 3.11.
RPN issued Step 2 on 14/11. G&amp;T reviewed on 17.11.SOMBP to provide commets - Morgan replied on 20.11. Morgan to come back to G&amp;T with resin.
SHP to issue Step 3.
RPN to respond to G&amp;T Step 3 comments sent on 24/11. G&amp;T sent cost on 11.12. G&amp;T to respond to RPN after scope clafication about slab finishing sent on 13/12 (mortar+resin). RPN responded on 13.12. SOMBP commetned on 14.12. RPN provided comments on 14.12. G&amp;T revised Step 3 on 22/12, RPN reviewed the cost on 03.01.24. Cost AGREED on 05.01. SHP to issue. Sent for signature on 11.01.</v>
          </cell>
        </row>
        <row r="336">
          <cell r="A336" t="str">
            <v>R-VAR-0324</v>
          </cell>
          <cell r="C336" t="str">
            <v>BLDG AC - VAV FULL TIME ASSISTANCE</v>
          </cell>
          <cell r="U336">
            <v>3</v>
          </cell>
          <cell r="AJ336" t="str">
            <v>Marina copied INS as step 1 draft. Patrick V ok. Sent on signature on 16.08.
RPN  issued Step 2. G&amp;T cost AGREED on 27.03. 
SHP ot issue Step 3&amp;4. Sent on signature on 09.04.</v>
          </cell>
        </row>
        <row r="337">
          <cell r="A337" t="str">
            <v>R-VAR-0325</v>
          </cell>
          <cell r="C337" t="str">
            <v>TEMPORARY INSTALLATION OF CHILLED WATER PRODUCTION</v>
          </cell>
          <cell r="U337">
            <v>1</v>
          </cell>
          <cell r="AJ337" t="str">
            <v>G&amp;T to review step 2. G&amp;T Step 3 issued 28/07. G&amp;T sent % 40/60 to RPN on 22.09. RPN and G&amp;T agreed on % 50/50 on 16/10. Cost agreed on 7.11. SHP to issue Sdtep 3&amp;4. Sent for signature.</v>
          </cell>
        </row>
        <row r="338">
          <cell r="A338" t="str">
            <v>R-VAR-0326</v>
          </cell>
          <cell r="C338" t="str">
            <v>BLDG A - L07 NEW CEILING AND LIGHTING IN CORRIDORS</v>
          </cell>
          <cell r="U338">
            <v>3</v>
          </cell>
          <cell r="AJ338" t="str">
            <v>SOMBP sent Step 1 for costing on 19.06. G&amp;T to issue cost files. SOMBP replied Clare question from 19.06 on 20.06. G&amp;T issued cost on 20.06. SOMBP uploaded to PMWeb on 21.06. SHP to review. Sent for signature on 17.07.
RPN issued step 2.
G&amp;T reviewed on 10.10. RPN responded on 25.10. 
SHP to issue Step 3. Sent for signature on 9.11.
G&amp;T reviewed on 9.11. RPN responded on 15.11. G&amp;T reviewed on 27.11.Cost AGREED on 11.01. SHP to issue Step 4. Sent for signature on 19.01.</v>
          </cell>
        </row>
        <row r="339">
          <cell r="A339" t="str">
            <v>R-VAR-0327</v>
          </cell>
          <cell r="C339" t="str">
            <v>BLDG S1 - SKIRTING</v>
          </cell>
          <cell r="U339">
            <v>3</v>
          </cell>
          <cell r="AJ339" t="str">
            <v>SOMBP to issue Step 1. Sent for costing to G&amp;T on 09.06. Cost sent on 12.06. Alex - ok. Max ok. Sent on signature on 20.06. 
RPN to issue Step 2 - (SHP confirmed no sample) - G&amp;T to review step 2. SOMBP reviewed Step 2 cost for G&amp;T on 25.09. G&amp;T issued Step 3 cost on 25.09.
SHP issued Step 3.
RPN replied on step 3. G&amp;T determined cost on 07.06 - agreeing to everything that actually relates to the scope of VAR 327 and have omitted the requested supply cost of the skirting. SHP to issue Step 4. Sent on signature on 13.06.</v>
          </cell>
        </row>
        <row r="340">
          <cell r="A340" t="str">
            <v>R-VAR-0328</v>
          </cell>
          <cell r="C340" t="str">
            <v>OPTICAL FIBER CHANGE</v>
          </cell>
          <cell r="U340">
            <v>5</v>
          </cell>
          <cell r="AJ340" t="str">
            <v>Dragos finished draft on 19.06. Sent to G&amp;T for costing on 22.06. Cedric - ok. G&amp;T issued cost files on 10.07. Alex - IntF. Sent for signature on 17.07.
RPN issued Step 2. G&amp;T reviewed on 02.10. RPN issued Step 2.1 on 18.10.23. 
SHP to issue Step 3.Sent for signature on 04/10. 
G&amp;T issue cost review on 2.11.
Cost agreed on 24.11. SHP to issue Step 4. Alex - Ellioit corrected excluded per Alex email on 24.11. Sent for signature on 28.11.
To revise Step 4 cost part - Step 4 rev 1 issued on 07.12.23.</v>
          </cell>
        </row>
        <row r="341">
          <cell r="A341" t="str">
            <v>R-VAR-0329</v>
          </cell>
          <cell r="C341" t="str">
            <v>BLDG AB L03 A.390 STORAGE SPACE MODIFICATION</v>
          </cell>
          <cell r="U341">
            <v>3</v>
          </cell>
          <cell r="AJ341" t="str">
            <v>SOMBP sent Step 1 for costing on 16.06. G&amp;T issued cost files on 29.06. SOMBP uploaded on 30.06. Alex, Max - ok, it is an ugly cheap door, this will be destroyed. Sent on signature on 17.07.
RPN didn't issue step 2.
SHP issued Step 3.
RPN issued cost proposal on 18.01.
SHP to issue Step 4 determination. Cost AGREED on 30.01. SHP to issue - G&amp;T to update cost file per Alex request. Sent on signature on 08.02.</v>
          </cell>
        </row>
        <row r="342">
          <cell r="A342" t="str">
            <v>R-VAR-0330</v>
          </cell>
          <cell r="C342" t="str">
            <v>BLDG AB L01 BULKHEAD ON DOORWAY TO SALLE XIV</v>
          </cell>
          <cell r="U342">
            <v>3</v>
          </cell>
          <cell r="AJ342" t="str">
            <v>Sent step 1 to G&amp;T on 12.06 and 19.06. SOMBP to reply G&amp;T question from 13.06. G&amp;T sent cost on 29.06. SOMBP uploaded on 30.06. Alex - ok. Sent for signature on 17.07.
RPN issued Step 2. G&amp;T reviewed on 16.10. 
SHP to issue Step 3.
RPN replyed on 27.11. G&amp;T to review - requires scope clarification from SOMBP - G&amp;T to run a meeting (06/12). G&amp;T issued cost on 6.12. RPN to respond.
SHP to issue Step 4 determination. Sent on signature on 23.01.
RPN disagreed with the cost. SOMBP/G&amp;T/RPN to revise Step 4. G&amp;T sent cost revision on 21.03. RPN cost AGREED on 21.03. G&amp;T issued final cost to SHP on 22.03. SHP to issue. Sent on signature on 27.03.
On 01.04. SOMBP/Jaime sent descope. G&amp;T sent revised cost to SOMBP on 08.04, saving is less 1k CHF. No revision will be done.</v>
          </cell>
        </row>
        <row r="343">
          <cell r="A343" t="str">
            <v>R-VAR-0331</v>
          </cell>
          <cell r="C343" t="str">
            <v>PROBLEM OF DIMENSIONS OF SWITCHBOARDS E11, F11 AND S11</v>
          </cell>
          <cell r="U343" t="str">
            <v/>
          </cell>
          <cell r="AJ343" t="str">
            <v>this RFi does not cause a var</v>
          </cell>
        </row>
        <row r="344">
          <cell r="A344" t="str">
            <v>R-VAR-0332</v>
          </cell>
          <cell r="C344" t="str">
            <v>ENERGY CENTER MAGNETIC DIRT SEPARATOR</v>
          </cell>
          <cell r="U344">
            <v>1</v>
          </cell>
          <cell r="AJ344" t="str">
            <v>Youssef drafted step 1 on 20.07. Sent to G&amp;T for costing. G&amp;T issued cost files on 04.08. Cedric ok on 16.08. SHP to issue Step 1. Sent on signature on 16.08.2023
RPN issued Step 2.
G&amp;T to review. SHP to check the cost per Clare email on 10.10 - Youssef oked on 12.10. G&amp;T issued Step 3 cost on 13.10. RPN agreed the cost with G&amp;T on 16.10. SHP to issue. Sent for signature on 25.10.</v>
          </cell>
        </row>
        <row r="345">
          <cell r="A345" t="str">
            <v>R-VAR-0333</v>
          </cell>
          <cell r="C345" t="str">
            <v>BLDG C - SALLE C6 LIGHTING IN STAIRS</v>
          </cell>
          <cell r="U345">
            <v>3</v>
          </cell>
          <cell r="AJ345" t="str">
            <v>SOMBP sent Step 1 for costing on 19.06. SOMBP sent updated Step 1 to G&amp;T on 05.07. G&amp;T issued cost files on 06.07. SOMBP uploaded on 07.07. Sent on signature on 17.07.
RPN to issue step 2.
SHP to issue Step 3.
RPN issued cost proposal on 02.05. Cost AGREED on 16.05. SHP to issue. Sent on signature on 21.05.</v>
          </cell>
        </row>
        <row r="346">
          <cell r="A346" t="str">
            <v>R-VAR-0334</v>
          </cell>
          <cell r="C346" t="str">
            <v>BLDG AA - SMOKE EXTRACTION INSTALLATION OF PAS PERDUS</v>
          </cell>
          <cell r="U346" t="str">
            <v/>
          </cell>
          <cell r="AJ346" t="str">
            <v>this RFi does not cause a var</v>
          </cell>
        </row>
        <row r="347">
          <cell r="A347" t="str">
            <v>R-VAR-0335</v>
          </cell>
          <cell r="C347" t="str">
            <v>BLDG A - ADDITIONAL CABLE TRAYS L10</v>
          </cell>
          <cell r="U347">
            <v>3</v>
          </cell>
          <cell r="AJ347" t="str">
            <v>Patrick sent sketch to G&amp;T for costing on 27.06. final draft was sent to G&amp;T for costing by Cedric on 30.06. G&amp;T issued cost files on 06.07.  Rosana - ok. Alex - to issue extF. G&amp;T added external form cost on 13.07. G&amp;T checked cost per Alex email on 14.07. Sent on signature 17.07.
Step 3 sent on signature on 10.08.
RPN to issue cost/time proposal. SHP to issue Step 4. Sent for signature on 25.08.</v>
          </cell>
        </row>
        <row r="348">
          <cell r="A348" t="str">
            <v>R-VAR-0336</v>
          </cell>
          <cell r="C348" t="str">
            <v>BMS INTEGRATION OF DHW CIRCULATION PUMPS</v>
          </cell>
          <cell r="U348">
            <v>4</v>
          </cell>
          <cell r="AJ348" t="str">
            <v>SOMBP to issue Step 1. Under clarification between SOMBP and G&amp;T. SOMBP issued to SHP on 19.07. SOMBP to review with G&amp;T omission in cost files per Marina email on 19.07. G&amp;T issued cost file on 10.10. SHP to issue. Sent for signature on 12.10.
RPN issued Step 2.
SHP to issue Step 3. Sent for signature on 01.11.
RPN issued cost on 7.11. G&amp;T reviewed on 17.11. RPN responded on 5.12. G&amp;T reviewed on 6.12. RPN to provide reply.
G&amp;T to determine.
06/12/23: RPN provided photos to G&amp;T to explain the difference in omission points. G&amp;T revised on 20.12. RPN rejected cost with no substantiation or proposition to move forward on 20.12. G&amp;T replied on 21.12. 
Cost AGREED on 21.12. G&amp;T sent cost to SHP on 02.01.24. SHP to issue - G&amp;T revised cost file issued 12/01. Sent for signature on 17.01.</v>
          </cell>
        </row>
        <row r="349">
          <cell r="A349" t="str">
            <v>R-VAR-0337</v>
          </cell>
          <cell r="C349" t="str">
            <v>BLDG AC - MODEL OF DWH CIRCULATION PUMP</v>
          </cell>
          <cell r="U349">
            <v>3</v>
          </cell>
          <cell r="AJ349" t="str">
            <v>SOMBP sent Step 1 to G&amp;T on 22.06. G&amp;T issued cost files on 27.06. SOMBP uploaded on 21.07. Alex - ok. Youssef reviewed on 31.08. Sent on signature on 31.08. Hilary spotted cost difference. SOMBP to check pump omission - Cedric E with AECOM.
RPN to issue Step 2.
SHP issued Step 3. RPN  issued cost proposal on 28.02. G&amp;T reviewed on 05.04. RPN responded on 08.04. G&amp;T sent tech request to Cedric on 09.04 - SOMBP to reply. &gt; Done (16.05.2024). G&amp;T replied to RPN on 16.05. RPN replied on 27.06. G&amp;T cost AGREED on 02.07. SHP to issue Step 4. Sent on signature on 05.07.</v>
          </cell>
        </row>
        <row r="350">
          <cell r="A350" t="str">
            <v>R-VAR-0338</v>
          </cell>
          <cell r="C350" t="str">
            <v>UBS SLAB PENETRATION BLDC C</v>
          </cell>
          <cell r="U350" t="str">
            <v>DONE</v>
          </cell>
          <cell r="AJ350" t="str">
            <v>SHP to issue Step 1. MoS sent to G&amp;T on 17.07 by Alex from Sam. G&amp;T issued cost files on 03.08. Sam has comments on cost (07.08) - Calum clarified on 15.08. Calum updated cost on 21.08. Sam - ok. SHP to issue Step 1. Sent on signature on 23.08.
SHP issue Step 3&amp;4. Sent on signature on 14.09</v>
          </cell>
        </row>
        <row r="351">
          <cell r="A351" t="str">
            <v>R-VAR-0339</v>
          </cell>
          <cell r="C351" t="str">
            <v>PAINT FINISH ON LEVEL 08</v>
          </cell>
          <cell r="U351">
            <v>3</v>
          </cell>
          <cell r="AJ351" t="str">
            <v>SOMBP to issue Step 1 per Patrick F email from 16.06. RPN to document the current state before painting over-it to support proposed split of the costs. Max is ok. Sent to G&amp;T for costing on 14.07. G&amp;T issued cost on 19.07. Sent on signature on 27.07.
RPN issued step 2. G&amp;t reviewed on 5.9. 
SHP to issue Step 3. Sent for signature on 8.11.
Cost AGREED on 11.03. G&amp;T sent agreed cost to SHP - Patrick F to check.  G&amp;T sent final cost file to SHP on 20.03. SHP to issue Step 4. Sent to signature on 25.03.</v>
          </cell>
        </row>
        <row r="352">
          <cell r="A352" t="str">
            <v>R-VAR-0340</v>
          </cell>
          <cell r="C352" t="str">
            <v>BLDG B - SUBSTATION</v>
          </cell>
          <cell r="U352">
            <v>4</v>
          </cell>
          <cell r="AJ352" t="str">
            <v>SOMBP issued Step 1 to SHP on 20.07. SHP to issue Step 1 to RPN. Alex - ok. Youssef oked on 31.08. Sent on signature on 31.08.
RPN not issued Step 2.
SHP issued Step 3.
RPN issued cost proposal on 19.03. G&amp;T reviewed on 26.03. Cost AGREED on 02.04. SHP to issue Step 4. Sent on signature on 16.04.</v>
          </cell>
        </row>
        <row r="353">
          <cell r="A353" t="str">
            <v>R-VAR-0341</v>
          </cell>
          <cell r="C353" t="str">
            <v>BUILDING S2- DEMOLITION</v>
          </cell>
          <cell r="U353">
            <v>4</v>
          </cell>
          <cell r="AJ353" t="str">
            <v>SOMBP sent Step 1 on 05.06. G&amp;T costed on 03.07. SOMBP uploaded on 03.07. SHP to issue. First G&amp;T corrected excel file per Alex email from 04.07 on 05.07. Sent on singature on 09.07.
RPN didn't issue Step 2.
SHP issued Step 3. RPN issued commercial proposal on 21.03.2025. G&amp;T cost AGREED on 08.04. SHP to issue. Sent on signature on 22.04,</v>
          </cell>
        </row>
        <row r="354">
          <cell r="A354" t="str">
            <v>R-VAR-0342</v>
          </cell>
          <cell r="C354" t="str">
            <v>BLDG A - ADDITIONAL CABLE TRAYS L09</v>
          </cell>
          <cell r="U354">
            <v>3</v>
          </cell>
          <cell r="AJ354" t="str">
            <v>step 1 sent to G&amp;T for costing on 11.07. G&amp;T issued cost files on 18.07. SOMBP uploaded in PMWeb 21.07. Alex sent files to G&amp;T to check if ok for expedited on 25.07. Bidane - no time impact. G&amp;T updated files on 26.07. Sent on signature on 27.07.
Step 3 sent on signature on 10.08.
RPN to issue cost/time proposal. RPN to start works.
Tech issue - the Cable tray route described in the VAR is through a Vertical Evacuation fire zone i.e. no fire load - On the technical side, there’s no issue with fire proofing the cable tray where needed, in terms of clear height. Also, fire proofing was foreseen on the previous cable tray pathway. And RPN state in the RFI-1110 the contractor ‘will be responsible to ensure that the additional cable trays are fully coordinated with architecture, others MEP technics and all elements that could be impacted’. A discussion between SOM/B+P and RPN is ongoing if a VAR for the fire proofing is indeed needed. SHP to issue Step 4. Sent for signature on 30.08</v>
          </cell>
        </row>
        <row r="355">
          <cell r="A355" t="str">
            <v>R-VAR-0343</v>
          </cell>
          <cell r="C355" t="str">
            <v>PERIPHERAL DOORS ASSESSMENT</v>
          </cell>
          <cell r="U355">
            <v>1</v>
          </cell>
          <cell r="AJ355" t="str">
            <v>Drafted by Cedric on 07.07. Sent to signatures on 10.07.
SHP issued Step 3. Sent for signature on 1.11.
G&amp;T to review Step 2, for that -
Cedric K to confirm the scope for G&amp;T (after he receives the assessment from RPN).
RPN - provided from Etavis confirming that all the work described in the quotations ensures the legal compliance of all the doors on 26.02. Benoit provided additional info to Etavis on 17.04. RPN/Etavis provided an offer on 19.04 - Updated cost recieved from RPN on 19.04. After that Benoit revised with precise scope for each door on 23.04. Cedric confirmed on 24.04. SHP issued Step 3 Rev 1.
RPN sent explanation on 14.05. G&amp;T to respond. FIrst Benoit to respond to Alistair email from 17.05 and check with Etavis quantities for devices. - meeting held with RPN and SHP and Etavis on 06.06. RPN reviewed the offer to be more  adjusted for needs on 06.06. G&amp;T reviewed on 11.06. RPN responded on 17.06. G&amp;T reviewed on 20.06. RPN cost AGREED on 20.06. G&amp;T sent final cost files to SHP on 21.06. SHP to issue. Sent for signatures on 05.07.</v>
          </cell>
        </row>
        <row r="356">
          <cell r="A356" t="str">
            <v>R-VAR-0344</v>
          </cell>
          <cell r="C356" t="str">
            <v>CONCORDIA FIRE MATRIX</v>
          </cell>
          <cell r="U356">
            <v>2</v>
          </cell>
          <cell r="AJ356" t="str">
            <v>to issue Step 1. Cedric drafted on 15.09. Sent on signature on 18.09.
RPN issued Step 2.
SBIS will send fire matric by 04.12. FEB will review and advise is a WS is required and what is requested/required from SOMBP/SHP.
RPN sent cost update on 11.03. G&amp;T replied on 11.03. 
SHP issued Step 3.
RPN replied on 25.04. G&amp;T cost AGREED on 29.04.
G&amp;T issued final cost file to SHP on 02.05. SHP to issue Step 4. Sent for signature on 09.05.</v>
          </cell>
        </row>
        <row r="357">
          <cell r="A357" t="str">
            <v>R-VAR-0345</v>
          </cell>
          <cell r="C357" t="str">
            <v xml:space="preserve">BLDG S1 LB2 - SERVICES RELOCATION </v>
          </cell>
          <cell r="U357">
            <v>2</v>
          </cell>
          <cell r="AJ357" t="str">
            <v>Step 1 sent to G&amp;T on 13.07. SOMBP replyed Clare questions from 20.07 on 21.07. G&amp;T issued cost files on 09.08. SOMBP uploaded to PMWeb on 10.08. SHP to issue Step 1. Sam added MEP tech on 14.08 - Cedric ok on 15.08. Sent for signature on 28.08.
G&amp;T to issue Step 3. 
Cost agreed on 03.10. SHP to issue Step 3&amp;4. G&amp;T to correct cost file per Alex comment on 03.10. Sent for signature on 11.10.</v>
          </cell>
        </row>
        <row r="358">
          <cell r="A358" t="str">
            <v>R-VAR-0346</v>
          </cell>
          <cell r="C358" t="str">
            <v>UPPER WINDOW MOTORIZATION</v>
          </cell>
          <cell r="U358">
            <v>2</v>
          </cell>
          <cell r="AJ358" t="str">
            <v>Drafted by Cedric on 07.07. Sent to signatures on 10.07.
RPN to issue Step 2. RPN has found discrepancies on quantites and p.u. compared to previous step2 (var167). A big cost meeting on 18.08. Clare sent updated cost on 18.08. RPN to review - the chef of eggtelsa will be back 23.08. RPN has sent Step 2 revised on 23.08 evening. G&amp;T reviewed with comment to blind switches on 25.08 - RPN replyed on 31.08. SHP issued Step 3.
RPN/G&amp;T/SOMBP/AECOM/EggTelsa had a joint site walk on 15.09.
RPN issued revised cost files on 18.09. G&amp;T reviewed on 25.09. 
G&amp;T to determine.
06/12/23: RPN waiting for final reply from Eggtelsa. RPN sent cost revised on 19.12. G&amp;T reviewed on 17.01. RPN replied on 17.01. G&amp;T responded on 12.02. RPN reviewed on 30.04. G&amp;T responded on 30.05. G&amp;T sent cost DETERMINATION on 20.06. SHP to issue Step 4. Sent on signature on 24.06.</v>
          </cell>
        </row>
        <row r="359">
          <cell r="A359" t="str">
            <v>R-VAR-0347</v>
          </cell>
          <cell r="C359" t="str">
            <v>BLDG A FLS ADJUSTMENTS TO DOORS AND PARTITIONS</v>
          </cell>
          <cell r="U359">
            <v>1</v>
          </cell>
          <cell r="AJ359" t="str">
            <v>Step 1 draft sent to G&amp;T for costing on 08.08 by SOMBP.  Sam - sent questions to SOMBP on 11.08. SOMBP sent step1rev1 to G&amp;T for costing on 31.08. Sam oked on 08.09. G&amp;T issued cost files on 15.09. SOMBP submited to PMWeb on 15.09. G&amp;T to check per Marina's cost comments on 18.09. SOMBP to clarify the scope for G&amp;T costing. G&amp;T issued cost files on 06.10. SOMBP uploaded in PMWeb on 06.10. Sam oked on 09.10. SHP to issue Step 1. Sent for signature on 11.10.
RPN issued Step 2.
SOMBP revised Step 1 on 20.10. G&amp;T revised cost on 30.10. SHP issued INS 331 to revise Step 1 on 31.10.
RPN to revise cost accordingly.
SHP to issue Step 3. Sent for signature on 08.11.
Eggtelsa states that there are errors in this variation 347 that they need to clarify. RPN issued commercial basis for discussion on 22.01. G&amp;T reviewed on 07.02. RPN responded on 23.02. G&amp;T reviewed on 28.02. Cost AGREED on 28.02. G&amp;T sent cost file to SHP on 29.02. SHP to issue. Sent on signature on 25.03.</v>
          </cell>
        </row>
        <row r="360">
          <cell r="A360" t="str">
            <v>R-VAR-0348</v>
          </cell>
          <cell r="C360" t="str">
            <v>BLDG C - DOOR TYPE CLARIFICATION</v>
          </cell>
          <cell r="U360" t="str">
            <v/>
          </cell>
          <cell r="AJ360" t="str">
            <v>SHP to clarify scope, if any. In absence of a clear SHP design change request, SOM/B+P consider this VAR as cancelled.</v>
          </cell>
        </row>
        <row r="361">
          <cell r="A361" t="str">
            <v>R-VAR-0349</v>
          </cell>
          <cell r="C361" t="str">
            <v>BLDG B - NEW CEILING HEIGHT</v>
          </cell>
          <cell r="U361">
            <v>4</v>
          </cell>
          <cell r="AJ361" t="str">
            <v>SOMBP issued Step 1 on 22.09. G&amp;T issueed cost files on 10.10, SOMBP sent comments on 09.10. SOMBP uploaded on 12.10. SHP to issue. Sent for signature on 25.10.
Rpn issued step 3 on 08/11/23. G&amp;T sent cost assessment on 20.11. RPN to replied on 20.11. G&amp;T responded on 29.11. RPN agreed cost on 29.11. G&amp;T sent final cost file to SHP on 5.12. SHP to issue Step 4.</v>
          </cell>
        </row>
        <row r="362">
          <cell r="A362" t="str">
            <v>R-VAR-0350</v>
          </cell>
          <cell r="C362" t="str">
            <v>BLDG A - FIRE PROOFING MEASURES IN ENERGY TUNNEL</v>
          </cell>
          <cell r="U362">
            <v>5</v>
          </cell>
          <cell r="AJ362" t="str">
            <v>Step 1 issued to G&amp;T for costing on 16.08. G&amp;T issued cost files on 18.08. SOMBP uploaded on 22.08.  Rosana - oked on 28.08. Sam oked on 04.09. Sent on signautre on 05.09.
RPN not issued Step 2.
SHP issued INS 327 on 14.11.
SHP issued Step 3.
RPN to issue cost proposal - target date 30.08.205.
18.06.2025 - RPN to check internally, if no come back in a week - G&amp;T to determine per 12.08.2025 com meeting - cost file recieved. First SOMBP confirm if there are issues with installation of the EI compartments without interfering with the existing cable trays - solved 19.08.2025. RON submitted com porposal on 01.09.2025. G&amp;T assessed on 09.09. RPN responded on 16.09. SOMBP provided comments to Alistari email from 22.09 on 29.09. G&amp;T replied to RPN on 30.09. RPN to respond.</v>
          </cell>
        </row>
        <row r="363">
          <cell r="A363" t="str">
            <v>R-VAR-0351</v>
          </cell>
          <cell r="C363" t="str">
            <v>BLDG D DOOR D9 - EXISTING DECOMMISSIONED ACCESS CONTROL TO BE INSTALLED</v>
          </cell>
          <cell r="U363">
            <v>3</v>
          </cell>
          <cell r="AJ363" t="str">
            <v>Benoit drafted Step 1. Cinzia oked on 22.09. Sent for signature on 27.09.
RPN to issued Step 2 on 14/11.
G&amp;T sent comments on 24.11. RPN to respond.
SHP issued Step 3.
R{N responded qith cost on 7.12 anf 16.02. Cost AGREED on 19.02. SHP ot issue. Sent on signature on 26.02.</v>
          </cell>
        </row>
        <row r="364">
          <cell r="A364" t="str">
            <v>R-VAR-0352</v>
          </cell>
          <cell r="C364" t="str">
            <v>AV SPARE PARTS - WORKSHOP</v>
          </cell>
          <cell r="U364">
            <v>5</v>
          </cell>
          <cell r="AJ364" t="str">
            <v>SHP to issue Step 1. Patrick to draft. Patrick F - ok. Sent for signature on 24.07.
SHP issued minor scope update via INS 317 on 27.09. 
RPN issued step 2 on 01.03.
G&amp;T reviewed on 21.03. RPN responded on 26.03.
SHP issued Step 3. Patrick V oked cost on 27.03.
G&amp;T requested RPN for additional info on 02.04 - RPN responded on 03.04. G&amp;T cost AGREED on 03.04. G&amp;T sent to SHP final cost file on 11.04. SHP to issue. Sent on signature on 18.04.</v>
          </cell>
        </row>
        <row r="365">
          <cell r="A365" t="str">
            <v>R-VAR-0353</v>
          </cell>
          <cell r="C365" t="str">
            <v>BLDG C UNTV CABINETS RETENTION</v>
          </cell>
          <cell r="U365">
            <v>4</v>
          </cell>
          <cell r="AJ365" t="str">
            <v>Step 1 issued to G&amp;T for costing on 25.07. SOMBP uploaded in PMWeb on 16.08. Irene - ok. SHP to issue Step 1. Sent for signature on 22.08.
RPN to issue Step 2.
SHP issued Step 3.
G&amp;T issued cost determination on 22.01. Variation determined on 22/01. RPN issued cost proposal on 23.01.Cost AGREED on 19.02. SHP to issue. Sent on signature on 26.02.</v>
          </cell>
        </row>
        <row r="366">
          <cell r="A366" t="str">
            <v>R-VAR-0354</v>
          </cell>
          <cell r="C366" t="str">
            <v>BLDG S1 NODE 4 L02 STONE FLOOR CLEANING</v>
          </cell>
          <cell r="U366">
            <v>1</v>
          </cell>
          <cell r="AJ366" t="str">
            <v>SOMBP sent Step 1 to G&amp;T on 27.07. G&amp;T issued cost files. SOMBP uploaded on 01.08. Sent on signature on 10.08.
RPN issued Step 2. G&amp;T reviewed on 29.09, RPN responded on 09.10. 
SHP to issue Step 3.  Sent for signature on 13.10.
G&amp;T reviewed on 3.11. RPN replyed on 23/11/23 agreeing on cost. G&amp;T issued final cost file on 23.11. SHP to issue Step 4. Sent on signature on 29.11.</v>
          </cell>
        </row>
        <row r="367">
          <cell r="A367" t="str">
            <v>R-VAR-0355</v>
          </cell>
          <cell r="C367" t="str">
            <v>BLDG C BLDG C L00 PRESS BAR COFFER VENTILATION</v>
          </cell>
          <cell r="U367">
            <v>1</v>
          </cell>
          <cell r="AJ367" t="str">
            <v>SOMBP issued Step 1 to SHP on 20.09 and revised on 22.09. G&amp;T to redo cost files as expedited. Youssef reviewed var on 04.10. SOMBP checked scope on 04.10 and G&amp;T to chekc cost per Youssef comment from 04.10. G&amp;T reissued the cost on 10.10. SHP to issue Step 1. Sent for signature on 12.10.
RPN issued Step 2 on 19.10 with no cost.
SHP issued Step 3.
RPN issued cost proposal on 28.02. 
SOMBP issued Step 1 revision on 14.02. G&amp;T costed on 20.03. SOMBP uploaded on 21.03. SHP issued as Step 3 revision 1. Sent on signature on 25.03.
G&amp;T sent cost on 26.06 and 27.06. G&amp;T cost AGREED on 04.07. SHP to issue. First G&amp;T to add cost difference summary per Alex email on 04.07. Sent on signature on 05.07.</v>
          </cell>
        </row>
        <row r="368">
          <cell r="A368" t="str">
            <v>R-VAR-0356</v>
          </cell>
          <cell r="C368" t="str">
            <v>BLDG AA-FIRE COMPARTIMENT ELECTRIC COLUMN 14</v>
          </cell>
          <cell r="U368">
            <v>3</v>
          </cell>
          <cell r="AJ368" t="str">
            <v>SOMBP sent Step 1 to G&amp;T on 15.09. G&amp;T issued cost files on 21.09. SOMBP uploaded in PMWeb on 22.09.
SOMBP confirmed variation type 87. G&amp;T to check if all scope is in cost files - done. Sam oked on 22.09. G&amp;T issued expedited cost file on 05.10. SHP to issue. Sent on signature on 09.10.
RPN issued Step 2.
SHP to issue Step 3. Sent for signature on 01.11.
RPN issued cost on 17.11. G&amp;T reviewed on 22.11. SOMBP confirmed + 3 hatches. G&amp;T reviewed cost on 23.11. RPN responded on 1.12. G&amp;T responded on 1.12. RPN replied on 4.12. G&amp;T AGREED the cost on 4.12. SHP to issue - G&amp;T to add basic agreement. Sent for signature on 7.12.</v>
          </cell>
        </row>
        <row r="369">
          <cell r="A369" t="str">
            <v>R-VAR-0357</v>
          </cell>
          <cell r="C369" t="str">
            <v>OMISSION OF FREE STANDING ACP ENCLOSURES WITHIN TRs</v>
          </cell>
          <cell r="U369">
            <v>5</v>
          </cell>
          <cell r="AJ369" t="str">
            <v>SOMBP sent Step 1 to G&amp;T on 11.08. Works already complete – sVAR vs VE to decide. SOMBP to reply to CLare's question from 13.05. G&amp;T costed on 19.06. SOMBP uploaded on 04.07. SHP to issue. Sent on signature on 12.07.
RPN didn't issue Step 2.
SHP issued Step 3. RPN issued commercial proposal on 24.02. SOMBP advise on responce - lorik confirmed VAR closure on 04.03. SSS/Remy confirmed on 07.03. SHP to issue.</v>
          </cell>
        </row>
        <row r="370">
          <cell r="A370" t="str">
            <v>R-VAR-0358</v>
          </cell>
          <cell r="C370" t="str">
            <v>INTEGRATION OF LOCAL ALARMS WITHIN CARD READERS</v>
          </cell>
          <cell r="U370">
            <v>2</v>
          </cell>
          <cell r="AJ370" t="str">
            <v>SOMBP uploaded to PMWeb on 24.08. SHP to issue Step 1. Cinzia - ok. Benoit ok on 29.08. Sent on signature on 30.08.
RPN to issue Step 2.
SHP to issue Step 3.
RPN to issue cost proposal.
SHP to issue Step 4 cost determination - G&amp;T cost file sent 05/01. Sent for signature on 12.01.</v>
          </cell>
        </row>
        <row r="371">
          <cell r="A371" t="str">
            <v>R-VAR-0359</v>
          </cell>
          <cell r="C371" t="str">
            <v>ADDITIONAL PROGRAMMING WORKS TO THE PRESS ROOM AV SYSTEMS (CDP???)</v>
          </cell>
          <cell r="U371" t="str">
            <v/>
          </cell>
          <cell r="AJ371" t="str">
            <v>Step 1 drafted - Patrick V oked text. Cedric - oked RFP on 09.08. Patrick F reviewed on 15.08. Sent for signature on 16.08.
RPN didn't issue Step 2.
SHP to issue Step 3 to cancell variation - too complicated to manage it through RPN. FMS-AV will perform the work.</v>
          </cell>
        </row>
        <row r="372">
          <cell r="A372" t="str">
            <v>R-VAR-0360</v>
          </cell>
          <cell r="C372" t="str">
            <v>BLDG B WALL CHANGES AND TOILETS SCOPE REDUCTION</v>
          </cell>
          <cell r="U372">
            <v>4</v>
          </cell>
          <cell r="AJ372" t="str">
            <v>SOMBP to issue revised Step 1 information including omission of WC's &gt; Tech scope sent to GT on 09.04.2024 for costing. G&amp;T issued Step 1 cost based on incorrect technical scope on 11/04/24. G&amp;T requested revised Step 1 on 16/04/24, had a phone call on 09.07, SOMBP provided plans to G&amp;T. G&amp;T sent revised cost on 10.07. SOMBP uploaded var on 16.07. SHP to issue - Marina rejected scope. SOMBP checked if toilets are FLS compliant and revised scope on 22.08. G&amp;T recosted on 02.09. SOMBP uploaded on 10.09. SHP to issue - Alex rejected cost on 11.09. G&amp;T sent a list of clarifications on 12.09. SOMBP reponded on 18.09. G&amp;T recosted on 20.09. SOMBP reuploaded on 24.09. SHP to issue. Sent on signature on 30.09.
RPN didn't issue Step 2.
SHP issued Step 3. RPN issued com proposal on 21.03.2025. G&amp;T cost AGREED on 23.04. SHP to issue. G&amp;T to change the excel per Alex email from 24.04. Patrick oked it on 28.04. Sent on signature on 28.04.</v>
          </cell>
        </row>
        <row r="373">
          <cell r="A373" t="str">
            <v>R-VAR-0361</v>
          </cell>
          <cell r="C373" t="str">
            <v>BLDG AB L02 AV WORKSHOP</v>
          </cell>
          <cell r="U373">
            <v>1</v>
          </cell>
          <cell r="AJ373" t="str">
            <v>SOMBP issued Step 1 to G&amp;T for costing on 14.09. G&amp;T issued cost file on 04.10. [STD] SOMBP uploaded to PMWeb on 11-oct. SHP to issue Step 1. Sent for signature on 25.10.
RPN issued Step 2. RPN to add cost info.
SHP to issue Step 3.
G&amp;T sent cost determination on 22.01. SHP to issue Step 4 determination. RPN issued cost proposal on 26.01. G&amp;T reviewed on 26.02. RPN to respond - tech issue on 02.05. 14.05. RPN says it's not technical it's commercial issue - cost should be agreed - RPN to clarify. RPN sent details on 15.05.
G&amp;T determined per Alex direction on 14.05. Had a meeting on 22.05 and 04.06 (Patrick V). SHP provided comments on 07.06. RPN submited cost update on 20.06. G&amp;T responded on 03.07. RPN responded on 11.07 1 item remaining to agree. G&amp;T cost AGREED except 1 item on 18.07. G&amp;T shared final cost file to SHP on 22.07. SHP to issue. Sent on signature on 23.07</v>
          </cell>
        </row>
        <row r="374">
          <cell r="A374" t="str">
            <v>R-VAR-0362</v>
          </cell>
          <cell r="C374" t="str">
            <v xml:space="preserve">WINDOWS REPAIR IN SALON HONGROIS </v>
          </cell>
          <cell r="U374" t="str">
            <v/>
          </cell>
          <cell r="AJ374" t="str">
            <v>Step 1 draft from Irene was sent to G&amp;T for costing on 09.08. G&amp;T issued cost files on 15.08. Sent for signature on 29.08.
RPN to issue Step 2.
SHP to issue Step 3.
RPN issued cost proposal on 23.11. G&amp;T reviewed on 11.12. RPN responded on 12.12. G&amp;T replied on 13.12. RPN responded on 06.02. G&amp;T replied on 07.02. RPN responded on 13.02 to withdraw this variation - these 2 windows reparation are in the contract. Step 3 rev 1 to withdraw sent on signature on 16.02.</v>
          </cell>
        </row>
        <row r="375">
          <cell r="A375" t="str">
            <v>R-VAR-0363</v>
          </cell>
          <cell r="C375" t="str">
            <v>ADDITIONAL RAMP FOR CAFETERIA</v>
          </cell>
          <cell r="U375">
            <v>2</v>
          </cell>
          <cell r="AJ375" t="str">
            <v>Step 1 draft was sent to G&amp;T for costing on 09.08. G&amp;T issued cost files on 15.08. Zeynep - oked on 16.08. Sent for signature on 22.08.
G&amp;T issued Step 3 cost on 25.09. RPN responded on 25.09. G&amp;T responded on 26/09.
Cost agreed on 26.09. SHP to issue Step 3&amp;4. Sent for signature on 29.11.</v>
          </cell>
        </row>
        <row r="376">
          <cell r="A376" t="str">
            <v>R-VAR-0364</v>
          </cell>
          <cell r="C376" t="str">
            <v>BLDG A DOOR HARDWARE SET REFINEMENT</v>
          </cell>
          <cell r="U376">
            <v>1</v>
          </cell>
          <cell r="AJ376" t="str">
            <v>SOMBP issued Step 1 to G&amp;T on 06.09. And resent step 1 on 15.09. G&amp;T ssued cost files on 13.10. SOMBP uploaded on 16.10. SHP to issue. Sent for signature on 24.10.
RPN to issued step 2 on 01/11/23. First SHP and SOMBP to review per G&amp;T email from 14.11. SOMBP provided comments on 14.11. SHP provided comments on 15.11.
SHP to issue Step 3 - Alex to add cost difference.
G&amp;T sent cost review to RPN on 17.11. RPN replied on 02.02. G&amp;T to review - first AECOM confirmed the position on the iSTar on 12.02. Cost AGREDD on 11.03. SHP to issue Step 4. Sent on signature on 18.03.</v>
          </cell>
        </row>
        <row r="377">
          <cell r="A377" t="str">
            <v>R-VAR-0365</v>
          </cell>
          <cell r="C377" t="str">
            <v>BLDG S2 - DISCREPANCIES FOR TOILETS VENTILATION SCHEMATIC - Cancelled</v>
          </cell>
          <cell r="U377" t="str">
            <v/>
          </cell>
          <cell r="AJ377" t="str">
            <v>to issue Step 1</v>
          </cell>
        </row>
        <row r="378">
          <cell r="A378" t="str">
            <v>R-VAR-0366</v>
          </cell>
          <cell r="C378" t="str">
            <v>ADDITIONAL FIRE DETECTORS BLDG A (CDP)</v>
          </cell>
          <cell r="U378">
            <v>3</v>
          </cell>
          <cell r="AJ378" t="str">
            <v>SOMBP issued Step 1 on 14.09. SHP to issue Step 1. G&amp;T to check cost files - omission per Marina's emails. G&amp;T issued update on 22.09. SHP to issue Step 1 - Sam oked on 02.10. G&amp;T updated the cost file on 04.10. Sent for signature on 05.10.
RPN issued Step 2.
SHP to issue Step 3. Sent for signature on 13.10. Step 3 issued on 17.20.23.
G&amp;T reviewed on 18.10. RPN responded on 17.11. G&amp;T reviewed on 28.11. RPN responded on 7.12. G&amp;T replied on 3.01. RPN responded on 3.01. Cost AGREED on 4.01. G&amp;T to issue final cost files to SHP. RPN come back wit additional scope from Siemens. SOMBP issue revision of scope on 26.01. RPN assessment provided, G&amp;T to review. SHP issued after that as Step 3 rev 1 on 12.02.
RPN sent revise cost on 02.02. G&amp;T reviewed on 13.02. RPN responded on 23.02. G&amp;T reviewed on 28.02. RPN responded on 01.03. G&amp;T reviewed on 08.03. RPN responded on 11.03 and 13.03. G&amp;T cost AGREED on 15.03. G&amp;T sent final cost file to SHP on 21.03. 
SHP to issue Step 4. First G&amp;T added cost shiftment on 22.03. After Patrick F review - SOMBP reviewed the scope on 17.04, G&amp;T to review possible decrease of the cost - Clare done on 09.05. Patrick F emailed to RPN on 16.05. RPN to respond.
SHP to determine - G&amp;T to prepare cost file. SHP ot issue Step 4.
Meeting held on 24.09. SHP/RPN. Agreed to split the cost 2/3 SHP and 1/3 RPN for design fees. RPN revised cost sent to G&amp;T on 25.09. G&amp;T reviewed and agreed on 24.10. SHP to issue Step 4 rev 1.</v>
          </cell>
        </row>
        <row r="379">
          <cell r="A379" t="str">
            <v>R-VAR-0367</v>
          </cell>
          <cell r="C379" t="str">
            <v>BLDG AB L01 VENTILATION A.171</v>
          </cell>
          <cell r="U379">
            <v>2</v>
          </cell>
          <cell r="AJ379" t="str">
            <v>SOMBP issued Step 1 to G&amp;T on 18.08.2023. G&amp;T issued cost files on 15.09. SOMBP uploaded to PMWeb on 19.09. SHP to issue Step 1. Youssef oked on 28.09. [STD] G&amp;T issued as expedited on 10-oct. Sent for signature on 12.10.
Step 2 issued. RPN to issue cost - G&amp;T awaits from RPN E-Connect quotations.
SHP to issue Step 3. Sent for signature on 1.11.
G&amp;T sent determination on 5.12. Shp to issue Step 4. Sent for signature on 15.12.
RPN requested cost revision on 08.04.24. SOMBP provided scope comments 12.04. G&amp;T revised the cost on 19.04 and 29.04.  SOMBP to check the scope per Clare email from 19.04 - done on 29.04. RPN responded on 29.05. First SOMBP to reply to scope question from Elliot 30.05 on 08.06. G&amp;T assessed cost on 11.06. RPN responded on 19.06. SOMBP confirmed no grills per Elliot email from 28.06 on 02.07. G&amp;T replied on 19.07. SOMBP to advise per Clare's email from 19.07 - responded by email on 19.07. G&amp;T cost AGREED on 05.09. SHP to issue. Sent on signature on 11.09.</v>
          </cell>
        </row>
        <row r="380">
          <cell r="A380" t="str">
            <v>R-VAR-0368</v>
          </cell>
          <cell r="C380" t="str">
            <v>ADD A PA EQUIPMENT IN BUILDING D, DOOR 9 (CDP???)</v>
          </cell>
          <cell r="U380">
            <v>5</v>
          </cell>
          <cell r="AJ380" t="str">
            <v>Cancelled per Cedric K email on 19.11.2024.</v>
          </cell>
        </row>
        <row r="381">
          <cell r="A381" t="str">
            <v>R-VAR-0369</v>
          </cell>
          <cell r="C381" t="str">
            <v>DEMOLITION</v>
          </cell>
          <cell r="U381" t="str">
            <v/>
          </cell>
          <cell r="AJ381" t="str">
            <v>to issue Step 1.  Cancelled - will be captured in VAR relative to PMI 049 / 076</v>
          </cell>
        </row>
        <row r="382">
          <cell r="A382" t="str">
            <v>R-VAR-0370</v>
          </cell>
          <cell r="C382" t="str">
            <v>INTEGRATION OF THE PRESS ROOM KNX SWITCHES BEHIND A PANEL</v>
          </cell>
          <cell r="U382">
            <v>3</v>
          </cell>
          <cell r="AJ382" t="str">
            <v>Benoit drafted Step 1 on 28.09.23. Alex to Step 1 to G&amp;T. Alex sent step 1 to G&amp;T on 29.08.23. G&amp;T cost provided on 06.02.2024. SHP to issue Step 1. Sent on signature on 21.02.
RPN issued Step 2.
SHP issued Step 3.
G&amp;T reviewed on 18.03. RPN responded on 06.08. G&amp;T to reply.</v>
          </cell>
        </row>
        <row r="383">
          <cell r="A383" t="str">
            <v>R-VAR-0371</v>
          </cell>
          <cell r="C383" t="str">
            <v>KNX INTEGRATION CONTROLLERS</v>
          </cell>
          <cell r="U383">
            <v>1</v>
          </cell>
          <cell r="AJ383" t="str">
            <v>SOMBP issued Step 1 to SHP and G&amp;T on 04.09. Saber edited Step 1 on 06.09. Meeting on 06.09. RPN sent summary files on 06.09. G&amp;T issuied cost files on 11.09. SOMBP issued Step 1 on 13.09. Saber oked on 18.09. SHP to issue Step 1. Saber - oked cost on 19.09, Alex - intForm. Sent on signature on 29.09.
RPN to issue Step 2.
SHP to issue Step 3.
RPN issued cost proposal on 15.12. G&amp;T reviewed on 3.01 and 09.01. RPn to review. A meeting with Clare and EggTelsa is required. RPN sent cost revision with comments on 01.02. Cost AGREED on 14.02. G&amp;T sent cost to SHP on 19.02. SHP to issue. Sent for signature on 26.02.</v>
          </cell>
        </row>
        <row r="384">
          <cell r="A384" t="str">
            <v>R-VAR-0372</v>
          </cell>
          <cell r="C384" t="str">
            <v>BLDG AB - LEVEL 01 BMS PANEL</v>
          </cell>
          <cell r="U384" t="str">
            <v>TOP</v>
          </cell>
          <cell r="AJ384" t="str">
            <v>SOMBP to issue Step 1. G&amp;T issued cost file on 03.10 and resend on 06.10. SOMBP uploaded on 06.10. Saber oked on 11.10. SHP to issue. Sent for signature on 11.10.
RPN to issue Step 2. G&amp;T responded on 25.10. G&amp;T sent comment on 20.11. RPN recleaned cost on 20.11.
SHP to issue Step 3. Sent for signature on 13.11.
RPN to confirm G&amp;T proposal on 27/11.
Cost agreed. SHP to issue Step 4.</v>
          </cell>
        </row>
        <row r="385">
          <cell r="A385" t="str">
            <v>R-VAR-0373</v>
          </cell>
          <cell r="C385" t="str">
            <v>CONCORDIA ADDITIONAL FIRE DETECTION DEVICES</v>
          </cell>
          <cell r="U385">
            <v>3</v>
          </cell>
          <cell r="AJ385" t="str">
            <v>SOMBP issued Step 1 to G&amp;T on 06.09. G&amp;T issued cost files on 15.09. SOMBP uploaded to PMWeb on 19.09. SHP to issue Step 1. G&amp;T sent cost file on 26.09. Marina copied in 87. SHP to issue Step 1. Sam scope - need to discuss with SOMBP. G&amp;T - cost file should be revised for what is included in baseline. Sam and Morgan oked everithing on 02.10. Sent for signature on 04.10.
RPN issued Step 2.
G&amp;T reviewed on 17.10. RPN responded on 17.10. G&amp;T reviewed on 19.10. RPN agreed the cost on 19.10. G&amp;T  ssued final cost file to SHP on 20.10.
SHP to issue Step 3. Sent for signature on 13.10.
SHP to issue Step 4. Sent for signature on 30.10.</v>
          </cell>
        </row>
        <row r="386">
          <cell r="A386" t="str">
            <v>R-VAR-0374</v>
          </cell>
          <cell r="C386" t="str">
            <v>BLDG D DOOR G8 FUNCTION</v>
          </cell>
          <cell r="U386" t="str">
            <v/>
          </cell>
          <cell r="AJ386" t="str">
            <v>Benoit darfted Step 1 on 2.11. Sent to G&amp;T on 2.11. G&amp;T to issue cost files. Was decided to be issued as daywork variation based on RFI 1191.</v>
          </cell>
        </row>
        <row r="387">
          <cell r="A387" t="str">
            <v>R-VAR-0375</v>
          </cell>
          <cell r="C387" t="str">
            <v>ALL BLDGS - MULTICREDENTIAL READER</v>
          </cell>
          <cell r="U387">
            <v>5</v>
          </cell>
          <cell r="AJ387" t="str">
            <v>Benoit darfted Step 1 on 2.11. Sent to G&amp;T on 2.11. G&amp;T issued cost files on 1.12. Benoit replied to Clare email on 28.11. SHP to issue. Sent for signature on 6.12.
RPN to issue Step 2.
SHP issued Step 3. RPN issued cost proposal on 06.03. G&amp;T issued Step 3 25/03. Benoit provided comments to G&amp;T on 21.05. G&amp;T provided Benoit comments to RPN on 04.06. G&amp;T issued cost DETERMINATION on 06.06. SHP to issue - no hold. G&amp;T to check if Benoit comments adressed - G&amp;T sent questions to RPN on 17.06. RPN responded on 18.06. SHP/Patrick F replied to RPN and G&amp;T on 17.07 (based on Benoit data). G&amp;T updated cost on 29.07. RPN responded on 09.08. G&amp;T had a meeting on 27.08, revised cost sent on 30.08. RPN responded on 10.09. G&amp;T reviewed on 12.09. As no info recieved from RPN G&amp;T sent DETERMINATION on 01.10. SHP to issue Step 4. Sent on signature on 03.10.</v>
          </cell>
        </row>
        <row r="388">
          <cell r="A388" t="str">
            <v>R-VAR-0376</v>
          </cell>
          <cell r="C388" t="str">
            <v>FIREPROOFING MEASURES IN ROOMS A.426 AND A.460</v>
          </cell>
          <cell r="U388">
            <v>3</v>
          </cell>
          <cell r="AJ388" t="str">
            <v>SOMBP sent Step 1 to G&amp;T on 15.09. G&amp;T issued cost files on 22.09. SOMBP reissued Step 1 to G&amp;T on 05.10. G&amp;T to revise cost file - G&amp;T has scope questions, SOMBP to clarify G&amp;T queries per email from 05.10. G&amp;T issued cost file on 05.10. SOMBP uploaded Step 1 in PMWeb on 06.10. Sam - A.426.1 not fire complient on 12.10. Max - keep historic doors permanently open? SOMBP revised Step 1 on 26.10. Max oked on 26.10. SOMBP appdated annex 3 on 21.11. Zeynep checked on 24.11.
G&amp;T issued cost file on 23.11. SOMBP uploaded on 23.11. SHP to issue. Sent on signature on 28.11.
RPN issued Step 2. No Cost included. 
SHP issued Step 3.
Scope clarification required for RPN to price - RPN to send scope questions to SOMBP.
SHP to issue Step 4 determination. Sent on signature on 23.01.
RPN disagrees with determination NOD recieved on 02.02.24 - cost error and scope errors. G&amp;T sent corrected cost error on 19.02. G&amp;T sent cost revision on 13.03 to RPN to reach agreement. SOMBP issued scope revision on 19.03. RPN costed on 25.03. G&amp;T replied on 03.04. RPN replied on 04.04. G&amp;T replied on 08.04. RPN cost AGREED on 08.04. SOMBP uploaded revision scope on 09.04. SHP to issue Step 3 Rev 1 and Step 4 Rev 1.</v>
          </cell>
        </row>
        <row r="389">
          <cell r="A389" t="str">
            <v>R-VAR-0377</v>
          </cell>
          <cell r="C389" t="str">
            <v>LIGHTNING IN COUR D'HONNEUR (CDP)</v>
          </cell>
          <cell r="U389">
            <v>3</v>
          </cell>
          <cell r="AJ389" t="str">
            <v>SOMBP to issue Step 1. Study started, but we need a meeting with Egg-Telsa / Léman Paratonnerre in week of 02.10. (au retour de Bernard Mégevand) to agree on the concept. SOMBP sent Step 1 to G&amp;T on 15.12. G&amp;T issued cost on 17.01 adn 19.01. SOMBP uploaded on 22.01. SOMBP and G&amp;T to revise var with type 91 - G&amp;T sent updated cost on 24.01. Rosana oked on 25.01. SHP to issue Step 1. Sent on signature on 21.02.
RPN didn't issue Step 2.
SHP issued Step 3.
RPN issued commercial proposal on 10.09.2025. G&amp;T to assess.</v>
          </cell>
        </row>
        <row r="390">
          <cell r="A390" t="str">
            <v>R-VAR-0378</v>
          </cell>
          <cell r="C390" t="str">
            <v>INDOOR MOBILE TELEPHONY</v>
          </cell>
          <cell r="U390">
            <v>2</v>
          </cell>
          <cell r="AJ390" t="str">
            <v>Dragos drafted Step 1 on 11.09. To decide 91 or 88 and descope part. Patrick F made comment in external form on 11.10. - Dragos confirmed. Step 1 was sent to G&amp;T on 11.10. G&amp;T issued cost files on 13.10. SHP to issue. Sent for signature on 25.10.
RPN not issued Step 2.
SHP issued Step 3.
G&amp;T prepared determination on 11.03 and 19.03. SHP sent Step 4 determination on signature on 22.03 - not issued.
RPN issued cost proposal on 25.03.2024. G&amp;T assessed on 15.04. Sunrise revised the tech solution and cost on 07.11. SHP issued revised Step 3.
RPN to proceed with Sunrise and issue com proposal with split for surveys and construction per Section - done on 27.02. Dragos commented on 05.03. G&amp;T assessed on 12.03. RPN replied on 13.03. G&amp;T cost AGREED on 14.03. SHP to issue. Sent on signature on 19.03.
Sunrise revised cost on 31.03. RPN revised com proposal on 03.04. G&amp;T cost AGREED on 08.04. SHP to issue. Sent on signature on 22.04.</v>
          </cell>
        </row>
        <row r="391">
          <cell r="A391" t="str">
            <v>R-VAR-0379</v>
          </cell>
          <cell r="C391" t="str">
            <v>REPLACEMENT OF A FIBER NATIONS-A.13-SOC</v>
          </cell>
          <cell r="U391" t="str">
            <v>NA</v>
          </cell>
          <cell r="AJ391" t="str">
            <v>Dragos drafted Step 1 on 11.09. Cedric oked on 11.10.  Step 1 was sent to G&amp;T on 11.10. G&amp;T issued cost files on 30.10. Dragos replied to Clare on 23.10. SHP to issue. Sent for signature on 8.11.
RPN issued Step 2. G&amp;T reviewed on 28.11. 
SHP issued Step 3.
RPN responded on 29.01. G&amp;T responded on 31.01. RPN sent a sketch on 01.02. Cost AGREED on 12.02. SHP to issue.</v>
          </cell>
        </row>
        <row r="392">
          <cell r="A392" t="str">
            <v>R-VAR-0380</v>
          </cell>
          <cell r="C392" t="str">
            <v>ASSEMBLY HALL CAMERAS</v>
          </cell>
          <cell r="U392">
            <v>3</v>
          </cell>
          <cell r="AJ392" t="str">
            <v>Patrick V drafted Step 1 on 26.09. Sent to G&amp;T for costing on 26.09. G&amp;T issued cost files on 27.09. SHP to issue Step 1. Sent for signature on 02.01.
SHP to issue Step 3&amp;4. Sent for signature on 12.10.</v>
          </cell>
        </row>
        <row r="393">
          <cell r="A393" t="str">
            <v>R-VAR-0381</v>
          </cell>
          <cell r="C393" t="str">
            <v>WEBCAST ENCODERS</v>
          </cell>
          <cell r="U393" t="str">
            <v/>
          </cell>
          <cell r="AJ393" t="str">
            <v>scope captured in Variation 173</v>
          </cell>
        </row>
        <row r="394">
          <cell r="A394" t="str">
            <v>R-VAR-0382</v>
          </cell>
          <cell r="C394" t="str">
            <v>EXTRA ARTWORKS MOVE</v>
          </cell>
          <cell r="U394">
            <v>3</v>
          </cell>
          <cell r="AJ394" t="str">
            <v>Marina drafted Step 1 on 04.10.22. Zeynep oked on 22.05. Sent to G&amp;T on 22.05. G&amp;T costed on 21.06. SHP to issue. Sent on signature on 27.06.
RPN didn't issue Step 2.
SHP issued Step 3. RPN issued commercial proposal on 26.07. G&amp;T checked on 02.09. RPN responded on 09.09. G&amp;T tcost AGREED on 12.09. G&amp;T sent final cost files to SHP on 12.09. SHP to issue. Sent for signature on 17.09.</v>
          </cell>
        </row>
        <row r="395">
          <cell r="A395" t="str">
            <v>R-VAR-0383</v>
          </cell>
          <cell r="C395" t="str">
            <v>BLDG A - PAS PERDUS CEILING PAINT</v>
          </cell>
          <cell r="U395" t="str">
            <v/>
          </cell>
          <cell r="AJ395" t="str">
            <v>superseded by instruction 315, see VAR 421, 422</v>
          </cell>
        </row>
        <row r="396">
          <cell r="A396" t="str">
            <v>R-VAR-0384</v>
          </cell>
          <cell r="C396" t="str">
            <v>KNX BMS INTEGRATION</v>
          </cell>
          <cell r="U396">
            <v>1</v>
          </cell>
          <cell r="AJ396" t="str">
            <v>SOMBP sent step 1 to G&amp;T on 26.09. G&amp;T issued cost files on 10.10. SOMBP uploaded to PMWeb on 16.10. Saber oked on 19.10. SOMBP reissued Step 1 on 3.11. G&amp;T updated the cost file on 17.11. SOMBP  uploaded wrong revision on 21.11. Saber oked on 24.11. SHP to issue. Sent to signature on 27.11. Cost file fixed on 4.12.
RPN issued Step 2 on 13.12. Step 2 rev 1 on 14.12.
Cedric E replied on 19.12 to Calum. G&amp;T revised the cost on 19.12. 
SHP issued Step 3.
RPN reviewed on 25.01. G&amp;T responded on 13.02. Cost AGREED on 14.02. G&amp;T sent cost files to SHP on 19.02. SHP to issue - Alex ok, G&amp;T corrected cost file on 28.02. SHP to issue. Sent on signature on 29.02.</v>
          </cell>
        </row>
        <row r="397">
          <cell r="A397" t="str">
            <v>R-VAR-0385</v>
          </cell>
          <cell r="C397" t="str">
            <v>BLDG C CLEANER'S ROOMS</v>
          </cell>
          <cell r="U397">
            <v>4</v>
          </cell>
          <cell r="AJ397" t="str">
            <v>SOMBP sent step 1 to G&amp;T on 26.09. G&amp;T issued cost files on 10.10. SOMBP request cost correction on 12.10. G&amp;T revised on 13.10. SOMBP uploaded to PMWeb on 16.10. Max oked on 24.10. SHP to issue. Snet for signature on 25.10.
RPN issued Step 2.
SHP to issue Step 3. Sent for signature on 09.11.
G&amp;T reviewed on 17.11. RPN responded on 20.11 accepting the cost. G&amp;T issued final cost to SHP on 24.11.
SHP to issue Step 4. Sent for signature on 28.11.</v>
          </cell>
        </row>
        <row r="398">
          <cell r="A398" t="str">
            <v>R-VAR-0386</v>
          </cell>
          <cell r="C398" t="str">
            <v>BLDG C LB3 - ARCHIVE STORAGE BELOW THE STAIR</v>
          </cell>
          <cell r="U398">
            <v>4</v>
          </cell>
          <cell r="AJ398" t="str">
            <v>SOMBP sent Step 1 to G&amp;T on 23.01. G&amp;T to cost - SOMBP to reply to questions from G&amp;T on 23.01 - 30.01. G&amp;T costed on 22.02. SOMBP uploaded on 22.02. Sam oked on 22.02. SHP ot issue. Sent for signature on 27.02.
RPN didn't issue Step 2.
SHP issued Step 3.
RPN sent commercial proposal on 19.03. G&amp;T reviewed on 28.03. RPN responded on 28.03. G&amp;T response 15/04, RPN cost AGREED on 16.04. G&amp;T  sent final cost file to SHP on 16.04. SHP to issue Step 4. Sent for signature on 19.04.</v>
          </cell>
        </row>
        <row r="399">
          <cell r="A399" t="str">
            <v>R-VAR-0387</v>
          </cell>
          <cell r="C399" t="str">
            <v>BLDG C BLIND AND MOTORIZED WINDOW BOXES</v>
          </cell>
          <cell r="U399">
            <v>4</v>
          </cell>
          <cell r="AJ399" t="str">
            <v>SOMBP issued Step 1 to G&amp;T on 10.10. G&amp;T issued cost files on 19.10. SOMBP  uploaded on 26.10. Max, Benoit oked on 26.10. SHP to issue. Sent for signature on 30.10.
RPN issued Step 2. 
SHP issued Step 3.
RPN to send cost offer. G&amp;T issued revision on 4.01.24. RPN responded on 29.01. Cost AGREED on 21.02. SHP to issue Step 4. Sent for signature on 27.02</v>
          </cell>
        </row>
        <row r="400">
          <cell r="A400" t="str">
            <v>R-VAR-0388</v>
          </cell>
          <cell r="C400" t="str">
            <v>COLUMN 26 ISSUE - Cancelled, included in VAR 007</v>
          </cell>
          <cell r="U400" t="str">
            <v/>
          </cell>
          <cell r="AJ400" t="str">
            <v>to issue Step 1. Includede in VAR 007</v>
          </cell>
        </row>
        <row r="401">
          <cell r="A401" t="str">
            <v>R-VAR-0389</v>
          </cell>
          <cell r="C401" t="str">
            <v>BLDG A L05 WALL DEMOLITION</v>
          </cell>
          <cell r="U401" t="str">
            <v>CLOSED</v>
          </cell>
          <cell r="AJ401" t="str">
            <v>SOMBP sent Step 1 to G&amp;T on 16.10. G&amp;T issued cost files on 31.10. SOMBP uploaded on 3.11. Samuel provided comments on 10.11. SOMBP reissued drawing on 14.11. SHP to issue. 
RPN issued Step 2. G&amp;T reviewed on 28.11. RPN responded on 28.11. G&amp;T reviewed on 29.11. 
SHP issued Step 3.
RPN responded with cost assessment on 30.11. G&amp;T responded on 05/12. RPN provided feedback on 5.12. G&amp;T replied on 5.12. G&amp;T issued revised cost on 15.01. Cost AGREED on 15.01. G&amp;T issued final cost files to SHP on 16.01. SHP to issue Step 4. Sent for signature on 19.01.</v>
          </cell>
        </row>
        <row r="402">
          <cell r="A402" t="str">
            <v>R-VAR-0390</v>
          </cell>
          <cell r="C402" t="str">
            <v>STAIRCASE 18 LIGHTING</v>
          </cell>
          <cell r="U402">
            <v>2</v>
          </cell>
          <cell r="AJ402" t="str">
            <v>SOMBP sent Step 1 to G&amp;T on 16.10. G&amp;T issued cost files on 30.10. G&amp;T updateed cost per SOMBP email from 6.11 on 14.11. SOMBP uploaded on 14.11. Benoit oked on 22.11. SHP to issue.
RPN issued Step 2 without cost but with Step 2 comments. SOMBP replied to the comment from Step 2 EggTelsa on 5.12.
SHP issued Step 3.  
G&amp;T sent cost determination on 22.01. SHP to issue Step 4 determination. RPN issued cost proposal on 26.01. G&amp;T step 3 issued 09/02/24. RPN reviewed on 06.08. G&amp;T cost AGREED on 30.08. G&amp;T sent cost file to SHP on 02.09. SHP to issue Step 1.</v>
          </cell>
        </row>
        <row r="403">
          <cell r="A403" t="str">
            <v>R-VAR-0391</v>
          </cell>
          <cell r="C403" t="str">
            <v>ADDITIONAL DOOR CHANGES AND FDCIOs BLDG A</v>
          </cell>
          <cell r="U403">
            <v>1</v>
          </cell>
          <cell r="AJ403" t="str">
            <v>SOMBP issued Step 1 to G&amp;T for costing on 30.10. G&amp;T issued cost on 17.11. SOMBP uploaded on 21.11. Benoit oked on 22.11. SHP to issue. Sent on signature on 28.11.
RPN to issue Step 2. 
SHP issued Step 3. RPN issued cost proposal on 28.02, 25.03. G&amp;T cost AGREED on 08.04. G&amp;T send cost file to SHP on 16.04. SHP ot issue Step 4. Sent for signature on 19.04.</v>
          </cell>
        </row>
        <row r="404">
          <cell r="A404" t="str">
            <v>R-VAR-0392</v>
          </cell>
          <cell r="C404" t="str">
            <v>ENTRANCE S2 WALL FINISH CHANGE</v>
          </cell>
          <cell r="U404">
            <v>4</v>
          </cell>
          <cell r="AJ404" t="str">
            <v>SOMBP Step 1 sent to G&amp;T for costing on 13.10 and updated on 27.10. G&amp;T issued cost files on 8.11. SOMBP sent cost comments on 9.11 and 10.11. G&amp;T updated cost on 10.11. SOMBP uploaded on 13.11. Zeynep oked on 21.11. SHP to issue. Sent on signature on 22.11.
RPN issued Step 2. G&amp;T reviewed on 29.11. RPN responded on 5.12.
SHP issued Step 3 - TIA under review.
G&amp;T sent cost revision on 11.12. RPN responded on 19.12. G&amp;T reviewed on 3.01.24 and sent a question on 12.01. G&amp;T updated cost on 04.03. RPN responded on 08.03 - cost AGREED. G&amp;T sent cost file to SHP on 11.03. SHP to issue Step 4. G&amp;T first added shift statement to excel on 15.03. Cost file still incorrect - G&amp;T added Step 1 cost on 20.03.</v>
          </cell>
        </row>
        <row r="405">
          <cell r="A405" t="str">
            <v>R-VAR-0393</v>
          </cell>
          <cell r="C405" t="str">
            <v>BLDG S1 - CRYPTOFAX ROOM</v>
          </cell>
          <cell r="U405">
            <v>2</v>
          </cell>
          <cell r="AJ405" t="str">
            <v>SOMBP issued Step 1 to G&amp;T on 10.10. G&amp;T issued cost files on 25.10. SOMBP uploaded on 26.10. Zeynep oked on 31.01. SHP to issue. Sent for signature on 3.11.
RPN issued Step 2.
G&amp;T reviewed the cost on 29.11. RPN responded on 1.12. G&amp;T reviewed on 5.12. 
SHP issued Step 3.
RPN responded on 18.12. Cost AGREED. SHP to issue Step 4. Sent for signature on 21.12.</v>
          </cell>
        </row>
        <row r="406">
          <cell r="A406" t="str">
            <v>R-VAR-0394</v>
          </cell>
          <cell r="C406" t="str">
            <v>Existing openings on slabs and EI walls</v>
          </cell>
          <cell r="U406" t="str">
            <v/>
          </cell>
          <cell r="AJ406" t="str">
            <v>to provide survey of or access to concerned area.</v>
          </cell>
        </row>
        <row r="407">
          <cell r="A407" t="str">
            <v>R-VAR-0395</v>
          </cell>
          <cell r="C407" t="str">
            <v>BLDG C - COUNCIL CHAMBER AV RACKS RELOCATION</v>
          </cell>
          <cell r="U407" t="str">
            <v>TOP</v>
          </cell>
          <cell r="AJ407" t="str">
            <v>SOMBP sent Step 1 to SHP to chack on 28.11.  Patrick V provided comments on 29.11. Cedric E asked Patrick V on 1.12 - Patrick responded on 6.12. SOMBP sent to G&amp;T and RPN on 21.12. G&amp;T costed on 26.01. SOMBP uploaded on 27.02 - added SHP request about access control (badge reader). Patrick V, Benoit oked on 01.03. Max oked on 05.03. SHP to issue. Snet for signature on 01.03.
RPN didn't issue Step 2.
SHP issued Step 3 - first assess TIA.
RPN issued commercial proposal on 07.05. First SOMBP to respond on Elliot's email from 16.05 on 05.06. G&amp;T reviewed on 12.06. RPN responded on 13.06. First SOMBP replied to Ellot email from 19.06 on 20.06. And G&amp;T replied to RPN on 26.06. RPN provided CAT7 substantiation on 04.07. G&amp;T issued revised cost on 09.07. SOMBP responded to Marina's email from 05.07 on 10.07. RPN revised Step 2 cost per additional SubSet issued late on 17.07. G&amp;T replied on 18.07. G&amp;T revised cost on 19.07. RPN agreed with DETERMINATION on 19.07. G&amp;T sent filan cost file to SHP on 19.07. SHP to issue. Sent on signature on 23.07.
G&amp;T revised cost per Amendment 7 and Patrick F email from 30.10.2024 on 31.10. SHP to issue.
On 10.12.2025 RPN rised that furniture for 7 LED120 lighting fixtures are missimng in the cost file. SOMBP/G&amp;T confirmed as included on 12.12.2025. RPN came back with more details on 12.01.2026. SOMBP confirmed that 7 units of NEW Type Q – LED 120 are missing in the costing from G&amp;T documentation on 13.01. G&amp;T confirmed 6 and asked more on 13.01. SOMBP replied on 14.01. G&amp;T to revise the cost - Clare sent confirmation to Jessica on 14.01, RPN to reply.</v>
          </cell>
        </row>
        <row r="408">
          <cell r="A408" t="str">
            <v>R-VAR-0396</v>
          </cell>
          <cell r="C408" t="str">
            <v>BLDG A - ASSEMBLY HALL DOORS IN CORNERS</v>
          </cell>
          <cell r="U408">
            <v>1</v>
          </cell>
          <cell r="AJ408" t="str">
            <v>SOMBP sent Step 1 to G&amp;T on 23.20. G&amp;T issued cost files on 6.11. SOMBP uploaded file on 09-nov. Benoit oked on 9.11. Bidane oked on 10.11. SHP to issue. 
RPN issued Step 2. G&amp;T reviewed on 5.12. 
SHP to issue Step 3.
G&amp;T sent revised cost on 11.12. RPN tagreed with cost on 11.12. Cost AGREED on 13.12. SHP to issue. Sent for signature on 15/12.</v>
          </cell>
        </row>
        <row r="409">
          <cell r="A409" t="str">
            <v>R-VAR-0397</v>
          </cell>
          <cell r="C409" t="str">
            <v>BLDG C SENSITIVE ROOMS - SALON TCHEQUE ET SLOVAQUE</v>
          </cell>
          <cell r="U409">
            <v>1</v>
          </cell>
          <cell r="AJ409" t="str">
            <v>Step 1 drafted by Marina on 12.10. Sent to G&amp;T on 12.10. G&amp;T to issue cost file - SHP clarified the scope and sent layout on 31.10 (Benoit/Dragos). G&amp;T still has scope questions - RPN run a survey to get quanitites to SOMBP/G&amp;T. SOMBP drafed Step 1. G&amp;T costed on 31.03. SOMBP commented cost on 21.03. G&amp;T recosted on 26.03. SOMBP uploaded on 27.03. Max oked on 22.04. SHP to issue. Sent on signatures on 22.04.
RPN dind't issue Step 2. TIA issued on 01.05.
SHP issued Step 3. RPN issued commercial proposal on 23.05. G&amp;T assessed on 06.06. RPN replied on 19.06. G&amp;T/Craig to check painting scope with Andrea H, close on Tuesday commercila meeting next week - Andrea confirmed on 17.07. SOMBP commented electriacl scope per Clare email from 12.07 on 16.07. SOMBP rovided partial reply to CLare on 15.07. RPN revised cost on 22.07. G&amp;T to respond. SOMBP provided comments per Clare's email from 23.07 on 25.07. Also RPN to provide substantiation for hours. Cost AGREED on 25.07 to split the difference. G&amp;T sent cost revision on 25.07. RPN agreed on cost determination on 25.07. G&amp;T sent SHP final cost files on 01.08. SHP to issue. G&amp;T corrected cost file first per Alex email on 02.08. Sent on signature on 07.08.</v>
          </cell>
        </row>
        <row r="410">
          <cell r="A410" t="str">
            <v>R-VAR-0398</v>
          </cell>
          <cell r="C410" t="str">
            <v xml:space="preserve">REPLACEMENT OF THE LIGHTING FIXTURES IN THE PAS PERDUS </v>
          </cell>
          <cell r="U410">
            <v>3</v>
          </cell>
          <cell r="AJ410" t="str">
            <v>Step 1 drafted by Rosana and checked by Cedric on 13.10. Sent to G&amp;T on 13.10. G&amp;T issued cost file on 18.10. SHP to issue. Sent for signature on 25.10. Cedric and Max to clarify David's question.
RPN issued Step 2 on 06/11/23. G&amp;T reviewed on 17.11. RPN replied on 20.11. 
SHP to issue Step 3.
G&amp;T to reply - check on site on 27.11 - cost issued on 29.11. RPN agreed cost on 29.11. G&amp;T sent final cost file to SHP on 29.11. SHP to issue Step 4.</v>
          </cell>
        </row>
        <row r="411">
          <cell r="A411" t="str">
            <v>R-VAR-0399</v>
          </cell>
          <cell r="C411" t="str">
            <v>BLDG C L02 COUNCIL CHAMBER GALLERY EXIT</v>
          </cell>
          <cell r="U411">
            <v>4</v>
          </cell>
          <cell r="AJ411" t="str">
            <v>SOMBP issued Step 1 to G&amp;T for costing on 26.10, 01.11. G&amp;T issued cost file on 8.11. SOMBP sent cost comments on 10.11. G&amp;T replied to comments on 10.11. SOMBP uploaded on 13.11. Max oked on 27.11. SHP to issue. Sent for signature on 28.11. RPN to issue Step 2. SHP issued Step 3. 
SHP to issue Step 4 determination. RPN issued cost proposal on 22.01. G&amp;T  step 3 issued 23/01 - RPN reviwed 06/02. G&amp;T responded on 07.02. RPN responded on 12.02 - cost AGREED. G&amp;T sent cost files to SHP on 01.03. SHP to issue. Sent on signature on 11.03.</v>
          </cell>
        </row>
        <row r="412">
          <cell r="A412" t="str">
            <v>R-VAR-0400</v>
          </cell>
          <cell r="C412" t="str">
            <v>BLDG A - L09 TECHNICAL GALLERY ACCESS</v>
          </cell>
          <cell r="U412">
            <v>2</v>
          </cell>
          <cell r="AJ412" t="str">
            <v>SOMBP sent Step 1 to G&amp;T for costing on 27.11. G&amp;T to issue cost files - Jaime replied to Alistar email from 4.12. Contractor will need to buy and install a Grading plate - specification was sent by Jaime per email from Chris on 4.12. G&amp;T issued cost files on 3.12. SOMBP uploaded on 5.12. SHP to issue - Sam sent email to SOMBP on 11.12 - SOMBP reviesd scope on 13.12. G&amp;T revised the cost on 13.12. Sam oked on 13.12. SOMBP uploaded on 14.12. SHP to issue. Sent on signature on 15.12.
RPN to issue Step 2.
SHP issued Step 3. RPN sent proposal on 30.02. Cost AGREED on 25.03. G&amp;T sent Step 1-4 to SHP on 28.03. SHP to issue. Sent on signature on 12.04.</v>
          </cell>
        </row>
        <row r="413">
          <cell r="A413" t="str">
            <v>R-VAR-0401</v>
          </cell>
          <cell r="C413" t="str">
            <v>BLDG A - FIRE RATED CEILINGS AND VARIOUS FLS ITEMS</v>
          </cell>
          <cell r="U413">
            <v>1</v>
          </cell>
          <cell r="AJ413" t="str">
            <v>SOMBP issued Step 1 to G&amp;T on 6.11 and revised on 8.11 and on 11.10. G&amp;T issued cost files on 14.11. SOMBP uploaded on 20.11. Sent to Sam on 20.11 for review - oked on 04.12. SHP to issue. Sent for signature on 4.12.
RPN to issue Step 2.
SHP issued Step 3.
RPN to clarify tcecnichal issue with Eggtelsa and SOMBP, RPN to issue cost proposal.
G&amp;T issued determination cost on 17.01. RPN issue cost proposal and TIA on 18.01. SHP to issue determination Step 4. G&amp;T to review the cost. First Cedric E. to check the scope per Clare email on 25.01 - 30.01. G&amp;T sent cost revision on 12.0.2 RPN responded on 29.02. G&amp;T reviewed on 19.03. RPN responded on 22.03. G&amp;T responded on 05.04. RPN replied on 19.04. G&amp;T responded on 29.04, 13.05. RPN cost AGREED on 13.05. G&amp;T sent final cost to SHP on 25.05. SHP to issue. Sent on signature on 28.05.</v>
          </cell>
        </row>
        <row r="414">
          <cell r="A414" t="str">
            <v>R-VAR-0402</v>
          </cell>
          <cell r="C414" t="str">
            <v>BLDG S2 PLUMBING FIXTURES DEMOLITION</v>
          </cell>
          <cell r="U414">
            <v>3</v>
          </cell>
          <cell r="AJ414" t="str">
            <v>to issue Step 1. G&amp;T issued cost on 30.10. SOMBP uploaded to PMWeb on 3.11. Youssef oked on 6.11. SHP to issue. Sent for signature on 9.11.
RPN issued Step 2. G&amp;T reviewed on 29.11. 
SHP issued Step 3.
RPN replied to G&amp;T on 4.12. G&amp;T sent cost revision on 5.12. RPN agreed with cost on 5.12. G&amp;T sent final cost files to SHP on 5.12. SHP to issue Step 4.</v>
          </cell>
        </row>
        <row r="415">
          <cell r="A415" t="str">
            <v>R-VAR-0403</v>
          </cell>
          <cell r="C415" t="str">
            <v>BLDG C LIGHT SWITCHES</v>
          </cell>
          <cell r="U415">
            <v>4</v>
          </cell>
          <cell r="AJ415" t="str">
            <v>SOMBP issued Step 1 to G&amp;T on 6.11. G&amp;T to issue cost file - on hold. SOMBP updated Step 1 text per new info from RPN on 8.11. G&amp;T issued cost on 29.11 and 8.12. SOMBP uploaded on 8.12. Benoit oked on 14.12.
SHP to issue. Sent for signature on 15/12.
RPN to issue Step 2.
SHP issued Step 3. RPN issued cost proposal on 12.01. G&amp;T reviewed on 24.01. RPN responded on 01.02. G&amp;T reviewed on 01.02. RPN responded on 02.02. Cost AGREED on 20.02. SHP to issue. Sent on signature on 26.02.</v>
          </cell>
        </row>
        <row r="416">
          <cell r="A416" t="str">
            <v>R-VAR-0404</v>
          </cell>
          <cell r="C416" t="str">
            <v>BLDG S1 ELECTRICAL SUPPLIES FOR TOILETS</v>
          </cell>
          <cell r="U416">
            <v>5</v>
          </cell>
          <cell r="AJ416" t="str">
            <v>SOMBP uploaded Step 1 to PMWeb on 2.11. Benoit oked on 7.11 SHP to issue Step 1. Sent for signature on 8.11.
RPN issued Step 2.
Clare issued Step 3 and raised question to Cedric Erard to clarify scope on 28/11. Cedric E to clarify quantities to Clare. G&amp;T sent cost assessment on 12.01. 
SHP issued Step 3. 
Cost AGREED on 19.02. SHP to issue. Sent on signauture on 26.02.</v>
          </cell>
        </row>
        <row r="417">
          <cell r="A417" t="str">
            <v>R-VAR-0405</v>
          </cell>
          <cell r="C417" t="str">
            <v>BLDG C - FLS UPDATES</v>
          </cell>
          <cell r="U417" t="str">
            <v>TOP</v>
          </cell>
          <cell r="AJ417" t="str">
            <v>Awaiting electrical schematics. SOMBP sent Step 1 on 01.05. G&amp;T to cost. First SOMBP to reply question from Clare 07.06 - Cedric E replied to his part on 08.06, David to add. G&amp;T issued cost on 19.06. SOMBP commented cost on 21.06. G&amp;T revised the cost on 25.06. SOMBP uploaded on 27.06. SHP to issue. Sent for signature on 02.07.
RPN didn't issue Step 2.
SHP issued Step 3. SOMBP issued scope revision on 09.08 due to VAR 456 scope revision.
SHP issued Step 3 Rev 1.
SHP confirmed that DB F15 should be retained and relocated, not replaced, therefore cost ommited on 17.09. RPN to issue commercial proposal - on site survey should be done on site for KNX. RPN sees discrepancies in scope - discuss in tech meeting. RPN sent commercial proposal on 08.11. SOMBP commented cost on 14.11. SOMBP - schematic and cost are different per email on 18.11. Per email from Cedric E on 21.11 - RFI1308A is rejected. RPN to correct difference - resent on 26.11 and 27.11. SOMBP to comment scope per Elliot email from 28.11 - meeting SOMBP/EggTelsa/RPN/SHP/G&amp;T on 03.12. RPN adjusted schematic on 03.12 - SOMBP agreed. SOMBP provided schematic with comments on 04.12. RPN updated quotation on 04.12. G&amp;T replied on 12.12. SOMBP confirmed scope per Clare email from 10.12. on 12.12. RPN responded on 17.12. SOMBP confirmed that no scope should be revised as a consequence.  G&amp;T replied on 06.01.2025. RPN replied on 09.01 and 29.01. SOMBP confirmed scope on 29.01. G&amp;T sent DETERMINATION on 30.01. SHP to issue. Sent on signature on 03.02. 
NoD issued RPN-183 on 20.02.25 SOMBP/Cedric E provided comments on 13.03. SHP to confirm.</v>
          </cell>
        </row>
        <row r="418">
          <cell r="A418" t="str">
            <v>R-VAR-0406</v>
          </cell>
          <cell r="C418" t="str">
            <v>2ND HANDRAIL IN STAIRCASES</v>
          </cell>
          <cell r="U418">
            <v>3</v>
          </cell>
          <cell r="AJ418" t="str">
            <v>SOMBP sent Step 1 to G&amp;T on 13.11. G&amp;T issued cost files on 27.11. SOMBP uploaded on 30.11. Zeynep oked on 30.11. SHP to issue.
RPN to issue Step 2.
SHP to issue Step 3.
RPN is finalyzing the economical quotation, it will be provided as soon as possible - sent on 20.12. Cost AGREED on 3.01. SHP to issue Step 4. SOMBP to check the additional scope - first RPN to check one-single-piece handrail for the staircases of AC, C, and AB with supplier. 
Cost AGREED on 13.05. SHP to issue Step 4.</v>
          </cell>
        </row>
        <row r="419">
          <cell r="A419" t="str">
            <v>R-VAR-0407</v>
          </cell>
          <cell r="C419" t="str">
            <v>BLDG S1 REFURBISHMENT OF INTERIOR OFFICE DOORS AND CUPBOARDS</v>
          </cell>
          <cell r="U419">
            <v>2</v>
          </cell>
          <cell r="AJ419" t="str">
            <v>SOMBP issued Step 1 to G&amp;T on 31.10. SOMBP uploaded on 20.11. Works not linked to SC. SHP - works not needed, var cancelled.
Reinstated on March 2024 as RPN did part of works anyway. SOMBP sent Step 1 revision which includes the refurbishment of some of the existing built-in office cupboards (ex VAR 409) to G&amp;T on 18.03. G&amp;T costed on 17.04. SOMBP uploaded on 19.04. SHP to issue.
RPN didn't issue Step 2.
SHP issued Step 3. RPN issued commercial proposal on 16.05. G&amp;T assessed on 31.05. RPN responded on 31.05. G&amp;T to reviewed on 31.05. RPN cost AGREED on 31.05. G&amp;T sent cost file to SHP on 07.06. SHP to issue. G&amp;T clarified cost difference on 20.06. Sent on signature on 24.06.</v>
          </cell>
        </row>
        <row r="420">
          <cell r="A420" t="str">
            <v>R-VAR-0408</v>
          </cell>
          <cell r="C420" t="str">
            <v>ENTRANCE POSTS WITH SAFEROUTE</v>
          </cell>
          <cell r="U420">
            <v>2</v>
          </cell>
          <cell r="AJ420" t="str">
            <v>SOMBP sent Step 1 to G&amp;T on 14.11. This is regarding the integration of the emergency door unlocking button in a bollard. Draft sent to RPN on 18.01.  G&amp;T costed on 23.01. SOMBP uploaded on 02.02. SHP to issue. Alex - ok. SOMBP provided cuase and risks on 27.02. Sent on signaure on 27.02.
RPNdidn't issue Step 2.
SHP issued Step 3.
RPN sent commercial proposal on 26.04.
G&amp;T Step 3 issued 07/06. Cost AGREED on 20.06. SHP to issue. Sent on signature on 24.06. Rejected by Brahim.
SHP/SOMBP/G&amp;T meeting on 19.08 - SOMBP reduced scope on 21.08, SHP/Sam approved revision on 28.08. G&amp;T cost revised on 10.09. Samuel and Dominic commented cost on 11.09, Liliana on 17.09. G&amp;T recosted on 30.09. SOMBP revised Step 3 on 29.10. SHP issued Step 3 rev 1 on 31.10.
RPN revised commercial proposal and provided photo on 15.11. Clare sent email to SHP/SOMBP about cost on 19.11 - SOMBP advised to keep latest scope on 20.11, SHP didn't provide feedback. G&amp;T sent agreed cost on 22.11. SHP to issue. Sent on signature on 28.11.
RPN found new saferoute poles missed in Step 4, RPN sent updated cost file to G&amp;T. G&amp;T sent agreed cost on 16.01. SHP to issue. Sent on signature on 22.01.</v>
          </cell>
        </row>
        <row r="421">
          <cell r="A421" t="str">
            <v>R-VAR-0409</v>
          </cell>
          <cell r="C421" t="str">
            <v>Recovery of Energy Consumption 2</v>
          </cell>
          <cell r="U421">
            <v>4</v>
          </cell>
          <cell r="AJ421" t="str">
            <v>marina drafted Step 1 on 26.10. Alex to check. Sent for signature on 1.11.
RPN didn't issue Step 2.
SHP issued Step 3.
RPN to issue commercial proposal.
G&amp;T sent determination on 17.05. SHP to issue Step 4. Sent on signature on 22.05.
On 12.02.2025 SHP/Alex initiated a revision of Step 4. SHP to issue. Sent on signature on 17.02.
NoD recieved on 27.02.2025.
SHP/Alex requested Step 4 revision due to cost AGREEMENT on 30.04. SHP to issue. Sent on signature on 16.05.</v>
          </cell>
        </row>
        <row r="422">
          <cell r="A422" t="str">
            <v>R-VAR-0410</v>
          </cell>
          <cell r="C422" t="str">
            <v>ROOM A13 MISCELLANEOUS WORKS</v>
          </cell>
          <cell r="U422" t="str">
            <v/>
          </cell>
          <cell r="AJ422" t="str">
            <v>WIll be issued as Daywork RFI</v>
          </cell>
        </row>
        <row r="423">
          <cell r="A423" t="str">
            <v>R-VAR-0411</v>
          </cell>
          <cell r="C423" t="str">
            <v>Modification of the discharge duct of the AHU XVI in Ventilation Room A.130</v>
          </cell>
          <cell r="U423">
            <v>1</v>
          </cell>
          <cell r="AJ423" t="str">
            <v>Youssef drafted Step 1 on 27.10. G&amp;T issued cost file on 24.11. SHP to issue. Sent for signature on 28.11
RPN issued Step 2 agreement.
SHP to issue Step 3&amp;4. Sent for signature on 15.12.</v>
          </cell>
        </row>
        <row r="424">
          <cell r="A424" t="str">
            <v>R-VAR-0412</v>
          </cell>
          <cell r="C424" t="str">
            <v>SALLE XVI LIGHTING</v>
          </cell>
          <cell r="U424">
            <v>4</v>
          </cell>
          <cell r="AJ424" t="str">
            <v>SOMBP sent Step 1 to G&amp;T on 09.11. G&amp;T issued cost files on 04.12. SOMBP uploaded on 5.12. Benoit oked on 5.12. SHP to issue. Sent for signature on 15.12.
RPN to issue Step 2.
SHP issued Step 3. RPN issued cost proposal on 31.01. G&amp;T step 3 issued 14/02 and 28.02, RPN reviewed on 06.05. G&amp;T responded 22.05. RPN responded on 06.06. G&amp;T sent clarification on 20.06. RPN prvided EggTelsa explanation. SOMBP replied first to Clare eamil from 08.07 on 15.07. Clare sent questions one more time on 30.07 - SOMBP replied on 31.07 and 05.08. Meeting held on 12.08 - remove eclipso material from var, RPN to provide cost details for eclipso labor and electrical (Clare email from 20.08) - responded by RPN on 12.09. SHP to clarify mock up details per Clare email from 12.08 - Lucille replied on 27.08. G&amp;T replied to RPN on 17.09. RPN responded on 19.09. G&amp;T replied on 03.10. RPN responded on 08.10. G&amp;T replied on 09.10. G&amp;T cost AGREED on 11.10. SHP to issue.</v>
          </cell>
        </row>
        <row r="425">
          <cell r="A425" t="str">
            <v>R-VAR-0413</v>
          </cell>
          <cell r="C425" t="str">
            <v>REPLACEMENT OF BACKFLOW PREVENTERS OF TYPE BA BY CA</v>
          </cell>
          <cell r="U425" t="str">
            <v/>
          </cell>
          <cell r="AJ425" t="str">
            <v>Youssef drafted Step 1 on 1.11, sent to G&amp;T. G&amp;T issued cost file on 10.11. Will be issued as DayWork RFI. 
These works are not required any more. variation closed permanently, no daywork RFI as well.</v>
          </cell>
        </row>
        <row r="426">
          <cell r="A426" t="str">
            <v>R-VAR-0414</v>
          </cell>
          <cell r="C426" t="str">
            <v>BLDG S1 L01 DG AREA INTERCOMS</v>
          </cell>
          <cell r="U426">
            <v>5</v>
          </cell>
          <cell r="AJ426" t="str">
            <v>SOMBP sent Step 1 to G&amp;T on 23.11. Step 0 review on 12.12. Not required for SC.  G&amp;T to cost - first SOMBP to clarify per Clare email on 13.12. Stefano replied to Clare on 18.12. G&amp;T sent cost on 3.01.24. SOMBP uploaded on 10.01. SOMBP to add per Cinzia comment from 11.01 - Stefano sent clarification to Cinzia on 16.01, Cinzia oked variation on 16.01. Benoit okes on 16.01. Sent on signature on 18.01.
RPN issued Step 2. G&amp;T reviewed cost on 14.02.
SHP issued Step 3.
SOMBP to respond Clare's email from 14.02. G&amp;T revised cost on 19.02. RPN responded on 25.03. G&amp;T reviewed on 17.04. RPN responded on 17.04. G&amp;T to replied on 17.04. RPN responded on 22.04. Cost AGREED on 22.04. G&amp;T sent final cost file to SHP on 23.04. SHP to issue. Sent on disnture on 29.04.</v>
          </cell>
        </row>
        <row r="427">
          <cell r="A427" t="str">
            <v>R-VAR-0415</v>
          </cell>
          <cell r="C427" t="str">
            <v>Room A.153-1 Finishes</v>
          </cell>
          <cell r="U427">
            <v>2</v>
          </cell>
          <cell r="AJ427" t="str">
            <v>Marina drafted step 1 on 23.01. Sent to G&amp;T on 23.01. G&amp;T to cost - Max to reply to G&amp;T in detais on email from 23.01 - Max replied on 08.02. G&amp;T costed on 23.02. SHP to issue. Sent on siagnature on 27.02.
RPN didn't issue Step 2.
SHP issued Step 3.
RPN issued commercial proposal on 26.06. G&amp;T reviewed on 04.07. RPN responded on 04.07. G&amp;T replied on 09.07. RPN cost AGREED on 10.07. G&amp;T sent final cost files to SHP on 10.07. SHP to issue. Sent on signature on 16.07.</v>
          </cell>
        </row>
        <row r="428">
          <cell r="A428" t="str">
            <v>R-VAR-0416</v>
          </cell>
          <cell r="C428" t="str">
            <v>BLDG C EXISTING OPENINGS IN BASEMENTS</v>
          </cell>
          <cell r="U428">
            <v>2</v>
          </cell>
          <cell r="AJ428" t="str">
            <v>SOMBP sent Step 1 to G&amp;T on 09.01. G&amp;T sent Step 1 11/01. G&amp;T to revise cost per SOMBP comment from 15.01 - G&amp;T revesed on 24.01. SOMBP sent revised version on 05.02. G&amp;T revised cost on 23.02. SOMBP uploaded on 27.02. SHP to issue. Sent on signature on 01.03.
RPN didn't issue Step 2. SHP issued Step 3.
RPN sent commercial proposal on 14.03. G&amp;T assessed on 26.03. SOMBP provided scope comments to G&amp;T on 02.04. RPN responded on 11.04. G&amp;T reponded on 11.04. RPN replied on 12.04. SOMBP checked the scope per email from Clare on 16.04. G&amp;T requested info on 22.04 - RPN responded on 25.04. RPN to submit product data sheets of multi blade fire dampers and of fireblock directly on pmweb for SOM/B+P and SHP review and comments.
RPN provided additional info on 06.05. SOMBP commented on 07.05. RPN replied to SOMBP on 14.05. SOMBP confirmed on 14.05. RPN revised the cost on 15.05. G&amp;T reviewed the cost on 21.05. RPN responded on 04.06. Cost AGREED on 04.06. G&amp;T sent final cost file to SHP on 13.06. SHP to issue. Sent on signature on 18.06.</v>
          </cell>
        </row>
        <row r="429">
          <cell r="A429" t="str">
            <v>R-VAR-0417</v>
          </cell>
          <cell r="C429" t="str">
            <v>BLDG C COUNCIL CHAMBER HEATING COILS BMS</v>
          </cell>
          <cell r="U429">
            <v>4</v>
          </cell>
          <cell r="AJ429" t="str">
            <v>AECOM provided Step 1 - to be reviewed by SOMBP to make sure any architectural scope if correctly captured. G&amp;T sent cost on 18.12. SOMBP sent cost comments to G&amp;T on 19.12. G&amp;T reviewed on 19.12. SOMBP uploaded on 22.12. Saber oked on 09.01. SHP to issue. Snet for signature on 11.01.
RPN to issue Step 2.
SHP issued Step 3. RPN issued cost proposal on 06.02. G&amp;t reviewed on 12.02. RPN responded on 08.03. G&amp;T responded on 12.03. RPN AGREED cost on 13.03. G&amp;T sent final cost to SHP on 21.03. SHP to issue.</v>
          </cell>
        </row>
        <row r="430">
          <cell r="A430" t="str">
            <v>R-VAR-0418</v>
          </cell>
          <cell r="C430" t="str">
            <v>BLDG C EMERGENCY LIGHTING IN SHAFTS 430-418</v>
          </cell>
          <cell r="U430">
            <v>4</v>
          </cell>
          <cell r="AJ430" t="str">
            <v>SOMBP to issue Step 1. G&amp;T issued cost on 2.01.24. SOMBP uploaded 0n 4.01. Benoit oked on 8.01. SHP to issue. Snet for signature on 11.01.
RPN issued Step 2.
G&amp;T reviewed on 15.02. RPN responded on 15.02. G&amp;T responded on 19.02. Cost agreed on 19.02.
SHP to issue Step 4. Sent on signature on 26.02.
RPN requested Step 4 rev 1 with additional info on 01.11.2024. SOMBP confirmed addiitonal scope on 02.12.2024. G&amp;T sent final cost files to SHP on 06.12. SHP to issue. First G&amp;T replied to Alex email from 10.12 on 17.12.</v>
          </cell>
        </row>
        <row r="431">
          <cell r="A431" t="str">
            <v>R-VAR-0419</v>
          </cell>
          <cell r="C431" t="str">
            <v>PROJECT DIAGNOSTIC - PROPOSAL FOR PHASE 2 LEAN SUPPORT</v>
          </cell>
          <cell r="U431">
            <v>5</v>
          </cell>
          <cell r="AJ431" t="str">
            <v>SHP to issue Step 1, recieved offer from Richard on 27.11. Sent to Alex for costing on 1.12. Sent for signature on 12.12.
RPN to issue Step 2.
SHP issued Step 3. RPN issued cost proposal on 30.04. G&amp;T assessed on 13.05. RPN shared ASPEN invoice on 11.07. G&amp;T responded on 11.07. RPN cost AGREED on 11.07. G&amp;T sent final cost file to SHP on 11.07. SHP to issue. Sent on signatures on 16.07.</v>
          </cell>
        </row>
        <row r="432">
          <cell r="A432" t="str">
            <v>R-VAR-0420</v>
          </cell>
          <cell r="C432" t="str">
            <v>ROOM NAMING</v>
          </cell>
          <cell r="U432">
            <v>1</v>
          </cell>
          <cell r="AJ432" t="str">
            <v>Step 1 drafted by Marina on 18.12. Sent to G&amp;T on 18.12. G&amp;T to cost - quantities to be sent additionally after the meeting with Marco/FMS and RPN. G&amp;T issued on 3.01.24. marco sent final file on 10.01. SHP to issue. Sent for signature on 15.01.
RPN to issue Step 2.
RPN sent updated version of attachment on 22.01. SHP issued revised Annex 1 as Step 3.
RPN issued cost proposal on 06.02. RPN sent cost update on 12.02. Patrick F replied to Clare on 22.02. G&amp;T reviewed on 22.02. RPN responded on 01.03. G&amp;T reviewed on 07.03. Cost AGREEED on 07.03. SHP to issue Step 4. Sent on signature on 14.03.</v>
          </cell>
        </row>
        <row r="433">
          <cell r="A433" t="str">
            <v>R-VAR-0421</v>
          </cell>
          <cell r="C433" t="str">
            <v>Asbestos in the Pas Perdus - abatement</v>
          </cell>
          <cell r="U433">
            <v>3</v>
          </cell>
          <cell r="AJ433" t="str">
            <v>Marina drafted Step 1 on 23.11. Sent to G&amp;T on 23.11. G&amp;T issued cost on 23.11 and 24.11. Sent for signature on 24.11
RPN issued Step 2. G&amp;T reviewed on 4.12. 
SHP issued Step 3. 
RPN responded on 29.02. G&amp;T reviewed on 11.03. RPN cost AGREED on 13.03. G&amp;T sent final cost file to SHP on 15.03. SHP to issue. Sent on signature on 19.03.
SHP/Alex requested residual risk / contingency allocation change on 28.04. Marinc changed forms on 29.04. SHP to issue.</v>
          </cell>
        </row>
        <row r="434">
          <cell r="A434" t="str">
            <v>R-VAR-0422</v>
          </cell>
          <cell r="C434" t="str">
            <v>Asbestos in the Pas Perdus - Repairs</v>
          </cell>
          <cell r="U434">
            <v>1</v>
          </cell>
          <cell r="AJ434" t="str">
            <v>SOMBP sent Step 1 to GT on 7.12. RPN provided comments on 8.12. SOMBP commented on 11.12. Step 0 review on 12.12. G&amp;T issued cost files on 13.12. SOMBP sent comments to revise cost on 15.12. G&amp;T revised the cost on 18.12. SOMBP uploaded on 18.12. SHP to issue. Sent for signature on 20.12.
RPN issued Step 2.
G&amp;T reviewed the cost on 24.01. 
SHP issued Step 3. 
RPN responded on 01.03. G&amp;T reviewed on 04.03. RPN responded on 13.03. G&amp;T reviewed on 14.03. RPN cost AGREED on 14.03. G&amp;T sent final cost to SHP on 15.03. SHP to issue. Sent on signature on 19.03.
SHP/Alex requested residual risk / contingency allocation change on 28.04.2025. Marine updated forms on 29.04. SHP to issue.</v>
          </cell>
        </row>
        <row r="435">
          <cell r="A435" t="str">
            <v>R-VAR-0423</v>
          </cell>
          <cell r="C435" t="str">
            <v>BLDG B - ENCASEMENT OF MH / PL RISERS</v>
          </cell>
          <cell r="U435">
            <v>4</v>
          </cell>
          <cell r="AJ435" t="str">
            <v>SOMBP sent Step 1 to G&amp;T on 19.12. G&amp;T costed on 17.01. G&amp;T to review the cost per Andrea emial on 18.01. Calum sent revised cost on 06.02. SOMBP uploaded on 06.02. On 20.02. FMS confirmed spare marble. G&amp;T confirmed cost on 01.03 and revise on 22.03. SOMBP revised the text per FMS comment and uploaded on 28.03. SHP to issue. Sent for signature on 19.04.
RPN didn't issue Step 2.
SHP issued Step 3. RPN issued commercial proposal on 25.02. SOMBP commented scope per Marina's email from 04.03 on 04.03. G&amp;T assessed on 13.03. RPN responded on 26.03. G&amp;T cost AGREED on 08.04. G&amp;T sent final cost file to SHP on 08.04. SHP to issue. Sent on signature on 22.04.</v>
          </cell>
        </row>
        <row r="436">
          <cell r="A436" t="str">
            <v>R-VAR-0424</v>
          </cell>
          <cell r="C436" t="str">
            <v>Building H works touching the RPN scope</v>
          </cell>
          <cell r="U436">
            <v>4</v>
          </cell>
          <cell r="AJ436" t="str">
            <v>Error, INS 82 is not cosing impact. VAR cancelled per Cedric K email on 19.11.2024.</v>
          </cell>
        </row>
        <row r="437">
          <cell r="A437" t="str">
            <v>R-VAR-0425</v>
          </cell>
          <cell r="C437" t="str">
            <v>HALL DES PAS PERDUS JURA WALL PAINT COLOUR</v>
          </cell>
          <cell r="U437">
            <v>5</v>
          </cell>
          <cell r="AJ437" t="str">
            <v>Max drafted Step 1, Alex sent it to G&amp;T on 28.11. G&amp;T await revised Step 1 doc including elevation / section drawings - Max sent revision to Calum on 30.01. G&amp;T costed on 04.03. SHP to issue. Sent on signature on 11.03.
RPN issued Step 2. G&amp;T Step 3 response provided 05/04.
SHP issued Step 3.
RPN reviewed cost proposal on 29.05. G&amp;T responded on 31.05. RPN responded on 06.06. G&amp;T replied on 11.06. RPN responded on 12.06. Cost DETERMINED on 12.06. NOD is expected. G&amp;T sent final cost file to SHP on 17.06. SHP to issue Step 4. Sent on signature on 19.06.
G&amp;T revised cost per NOD issued on 05.07 - sent to RPN on 28.11. RPN seems responded, G&amp;T to send final cost files to SHP. Covered by Amendment 8.</v>
          </cell>
        </row>
        <row r="438">
          <cell r="A438" t="str">
            <v>R-VAR-0426</v>
          </cell>
          <cell r="C438" t="str">
            <v>BLDG C - IT CABLING</v>
          </cell>
          <cell r="U438">
            <v>1</v>
          </cell>
          <cell r="AJ438" t="str">
            <v>SOMBP sent Step 1 to G&amp;T on 28.11 and revision on 13.12. Step 0 review on 12.12. G&amp;T sent cost on 5.01. G&amp;T to add access panel per email from Andrea on 5.01 - G&amp;T updated on 8.01. SOMBP uploaded on 8.01. Benoit oked on 10.01. SHP to issue. Sent for signature on 13.01.
RPN to issue Step 2.
SHP issued Step 3. RPN issued cost proposal on 22.02. G&amp;T reviewed on 17.04. RPN responded on 23.04. Cost AGREED on 31.05. G&amp;T sent cost file to SHP on 07.06. SHP to issue. Sent on signature on 12.06.</v>
          </cell>
        </row>
        <row r="439">
          <cell r="A439" t="str">
            <v>R-VAR-0427</v>
          </cell>
          <cell r="C439" t="str">
            <v>Bldg E Heat Exchanger Replacement</v>
          </cell>
          <cell r="U439">
            <v>3</v>
          </cell>
          <cell r="AJ439" t="str">
            <v>SHP drafted Step 1 on 25.11. G&amp;T costed on 29.11. SHP/Youssef provided additional info to G&amp;T/Clare on 03.12. G&amp;T recosted on 13.12. SHP/Youssef confirmed cost on 16.12. SHP to issue - on hold since 20.12.2024. becuase first we need a responce to INS 419 about Heat Exchenge selection - RPN to provide info. Cancelled per Youssef email from 13.03.2025.</v>
          </cell>
        </row>
        <row r="440">
          <cell r="A440" t="str">
            <v>R-VAR-0428</v>
          </cell>
          <cell r="C440" t="str">
            <v>WATER INFILTRATION</v>
          </cell>
          <cell r="U440">
            <v>3</v>
          </cell>
          <cell r="AJ440" t="str">
            <v>SOMBP sent Step 1 on 15.12. G&amp;T issued cost on 8.01. SOMBP uploaded on 10.01. SHP to issue. Sent for signature on 18.01.
RPN didn't issue Step 2.
SHP issued Step 3.
RPN issued basis for commercial discussion on 19.04. G&amp;T assessed on 29.04. RPN responded on 15.05. Meeting on 24.05. Cost GAREED on 24.05. G&amp;T sent final cost file to SHP on 29.05. SHP to issue Step 4. Sent on signature on 30.05.
Max adgreed Zone 1 AB and the extra cost of 20k on 11.07.
Final full scope recieved from RPN on 22.11. RPN provided details on 26.11. G&amp;T checked scope with SOMBP and RPN. SHP/Max confirmed scope per Calum email on 26.11. G&amp;T replied to RPN on 17.01. RPN responded on 18.02. G&amp;T replied on 04.03. G&amp;T proposed to split the difference in the com meeting. RPN agreed on 04.03. G&amp;T sent to SHP on 12.03. SHP to issue. First G&amp;T to comment cost difference per Alex email from 14.03 - responded on 18.03. Sent on signature on 07.05.</v>
          </cell>
        </row>
        <row r="441">
          <cell r="A441" t="str">
            <v>R-VAR-0429</v>
          </cell>
          <cell r="C441" t="str">
            <v>Daywork</v>
          </cell>
          <cell r="U441">
            <v>2</v>
          </cell>
          <cell r="AJ441" t="str">
            <v>SOMBP sent Step 1 on 8.12. Step 0 review on 12.12. G&amp;T to issue cost. Clare sent a question to Dominic on 23.01 - SOMBP to respond. G&amp;T updated cost on 31.01. SOMBP uploaded on 01.02. SHP to issue. Sent on signature on 21.02.
RPN didn't issue Step 2.
SHP issued Step 3.
RPN sent commercial proposal on 28.03. G&amp;T sent cost seessment to RPN on 10.04. SOMBP to comment scope change from Clare on 10.04 &gt; Done (16.05.2024). RPN replied on 15.05. G&amp;T responded on 06.06. RPN partially replied on 04.07. RPN provided full responce on 05.07. G&amp;T responded on 15.07 and 25.07. RPN cost AGREED on 25.07. G&amp;T sent final cost file to SHP on 25.07. SHP to issue. First G&amp;T corrected cost file per Alex email 30.07. Sent on signatures 31.07.</v>
          </cell>
        </row>
        <row r="442">
          <cell r="A442" t="str">
            <v>R-VAR-0430</v>
          </cell>
          <cell r="C442" t="str">
            <v>BLDG A PLANTROOM HALL 14 CABLE TRAYS</v>
          </cell>
          <cell r="U442" t="str">
            <v/>
          </cell>
          <cell r="AJ442" t="str">
            <v>Draft recieved from Youssef on 6.12. sent to G&amp;T on 7.12. G&amp;T issued cost file on 13.12. Will be issue as daywork - no. Step 4 agreed.</v>
          </cell>
        </row>
        <row r="443">
          <cell r="A443" t="str">
            <v>R-VAR-0431</v>
          </cell>
          <cell r="C443" t="str">
            <v>METAL WALKWAY ABOVE THE PUMPS</v>
          </cell>
          <cell r="U443">
            <v>4</v>
          </cell>
          <cell r="AJ443" t="str">
            <v>Marina drafted Step 1 on 30.01. Sent on signature on 07.02.
RPN issued Step 2.
G&amp;T to work on - provide what documents are outstanding and when it was requested from RPN per email from Alex from 29.10.2024. G&amp;T sent a list of questions in Dec 2024. G&amp;T sent agreed cost on 14.02. SHP to issue. Sent on signature on 19.02.</v>
          </cell>
        </row>
        <row r="444">
          <cell r="A444" t="str">
            <v>R-VAR-0432</v>
          </cell>
          <cell r="C444" t="str">
            <v>BLDG A DOOR MODIFICATIONS RELATED TO FLS</v>
          </cell>
          <cell r="U444">
            <v>4</v>
          </cell>
          <cell r="AJ444" t="str">
            <v>SOMBP sent Step 1 on 15.12 and revised on 15.01. G&amp;T costed on 09.02. SOMBP uploaded on 09.02. SHP to issue. Sent for signature on 14.02.
RPN didn't issue Step 2.
SHP issued Step 3.
SOMBP revised scope based on EggTelsa proposal - battery pack on 01.05. SOMBP provided details on 16.05. G&amp;T costed on 21.05. SHP issued Step 3 rev 1.
RPN issued cost proposal on 21.06. G&amp;T to review, SOMBP provided comments to the scope per Marina's email on 24.06 on 27.06. Meeting held on 27.06. G&amp;T sent updated cost on 27.06. RPN responded on 02.07.  Drawings sent by RPN on 04.07. G&amp;T reviewed on 22.07. RPN to respond. SOMBP to respons to Clare's email from 09.07 - Done on 17.07. G&amp;T to determine if no details recieved from RPN by 02.08. No responce from RPN, G&amp;T determined on 15.08. SOMBP confirmed addition of RFI 754 on 20.08. Patrick F oked on 20.08. RPN revised cost on 20.08. G&amp;T checked on 29.08. RPN to provide buildups. SHP to issue Step 4 determination. Sent for signature on 29.08.
RPN found error in cost file on 22.10.2024. SOMBP confirmed scope on 06.11. G&amp;T tsent to RPN on 06.11. RPN cost agreed as DETERMINED on 21.03. G&amp;T sent final cost files on 25.03. SHP to issue. Sent on signature on 02.04.</v>
          </cell>
        </row>
        <row r="445">
          <cell r="A445" t="str">
            <v>R-VAR-0433</v>
          </cell>
          <cell r="C445" t="str">
            <v>BLDG S1 - WOODEN SLATS IN NODE 4</v>
          </cell>
          <cell r="U445">
            <v>5</v>
          </cell>
          <cell r="AJ445" t="str">
            <v>SOMBP sent Step 1 for review to SHP on 12.12. Patrick F provided comments on 14.12. SOMBP sent to G&amp;T and RPN on 15/12. G&amp;T costed on 8.01. SOMBP uploaded on 8.01. SHP to issue. Sent for signture on 13.01.
RPN to issue Step 2.
SHP issued Step 3. RPN issued cost proposal on 30.01. Cost AGREED on 08.02. G&amp;T sent cost to SHP on 10.02. SHP to issue - first G&amp;T to correct cost file. Sent on signature on 14.02.</v>
          </cell>
        </row>
        <row r="446">
          <cell r="A446" t="str">
            <v>R-VAR-0434</v>
          </cell>
          <cell r="C446" t="str">
            <v>BLDG B - UPPER WINDOW MOTORIZATION</v>
          </cell>
          <cell r="U446">
            <v>4</v>
          </cell>
          <cell r="AJ446" t="str">
            <v>SOMBP to issue Step 1 - will be issued after access to bldg B. Bob asked for access on 15.08, SHP to arrange for 27.08. SOMBP sent Step 1 draft to G&amp;T on 21.10. Had a call Bob/Calum on 29.10. G&amp;T costed on 05.11. SOMBP commented on 07.11. G&amp;T updated cost on 07.11. SOMBP uploaded on 07.11. SHP to issue. Sent on 14.11.
RPN didn't issue Step 2.
SHP issued Step 3. SOMBP issued Step 3 Rev 1 on 28.01. SHP issued - Sam oked on 12.02. SOMBP to add 3 control Box for BMS office and storage - will not be added in this var, separate scope. RPN to issue Com proposal - still not recieved. G&amp;T sent cost DETERMINATION on 15.10. SHP to issue.
RPN and SOMBP to develop and check method statement for windows frame removal review the control box locations with RPN and confirm they don’t foresee any issues. SOMBP have already carried out their own survey prior to the variation being issued. RPN to complete their own check and propose a suitable date to review any findings or concerns.</v>
          </cell>
        </row>
        <row r="447">
          <cell r="A447" t="str">
            <v>R-VAR-0435</v>
          </cell>
          <cell r="C447" t="str">
            <v>ROOM NAMING</v>
          </cell>
          <cell r="U447">
            <v>3</v>
          </cell>
          <cell r="AJ447" t="str">
            <v>SHP to issue Step 1 - To see if we can revert some of the room names back to the tender to minimize rework and hopefully find a compromise. •	Alternative to have dual labelling to be investigated. Mauro sent file on 11.01. Marina to close the var - Macro confirmed on 21.02 - we keep the current room naming, This will avoid any labelling, programming and related costs.
SHP to issue Step 1 cost for conversion table - Patrick F confirmed scope on 11.03. G&amp;T sent cost on 26.03 and 03.04. SHP to issue. Sent on signature on 10.04.
RPN didn't issue Step 2.
SHP issued Step 3. RPN issued commercial proposal on 27.02. SHP to issue. Sent on signature on 14.03.</v>
          </cell>
        </row>
        <row r="448">
          <cell r="A448" t="str">
            <v>R-VAR-0436</v>
          </cell>
          <cell r="C448" t="str">
            <v>VARIOUS BLDG AB FLS CHANGES</v>
          </cell>
          <cell r="U448">
            <v>2</v>
          </cell>
          <cell r="AJ448" t="str">
            <v>SOMBP sent Step 1 on 02.02 revised on 19.02. G&amp;T costed on 05.02. G&amp;T updated cost per Jaime email from 05.03 on 08.03. SOMBP uploaded on 08.03. SHP to issue. Sent on signature on 14.03.
RPN didn't issue Step 2. RPN issued TIA on 09.04. 
SHP issued Step 3.
RPN issued commercial proposal on 07.05. G&amp;T reviewed on 06.06.
Sent to SOMBP for comments on 05.06. SOMBP commented on 07.06. RPN to dismantle the cupboards to see the scope for paint- done on 12.06. RPN provided behind cupboard photos on 13.06. SOMBP checked the scope and sent to G&amp;T on 17.06. RPN revised fake marble cost on 03.07. SOMBP commented restoration painting on 03.07. Meeting held on 09.07. Andrea H/SHP confirmed fake marble 120 hrs. RPN revised cost on 29.07 and 06.08. RPN split the cost on 08.08 to reach agreement. G&amp;T agreed on 08.08, sent final cost file to SHP on 13.08. SHP to issue Step 4. First G&amp;T corrected excel file per Alex email from 14.08 on 23.08. Sent on signature on 28.08.
On 19.03. SOMBP rised NCF 320, G&amp;T revisded Step 4 cost to descope hatches at Lv01 on 27.03. RPN replied on 28.03. SOMBP/Jaime commented on 28.03. G&amp;T to respond. First Alex to respond to Calum email from 08.04 - done on 16.04. G&amp;T/Calum to revise Step 4 - First RPN to confirm numbers - done on 22.05. SHP to issue. Sent on signature on 26.05.</v>
          </cell>
        </row>
        <row r="449">
          <cell r="A449" t="str">
            <v>R-VAR-0437</v>
          </cell>
          <cell r="C449" t="str">
            <v>FILM ON TR WINDOWS</v>
          </cell>
          <cell r="U449">
            <v>2</v>
          </cell>
          <cell r="AJ449" t="str">
            <v>SOMBP sent Step 1 on 21.12 to SHP. Dragos to check. SOMBP sent Step 1 to G&amp;T on 19.01. G&amp;T costed on 12.02. SOMBP uploaded on 14.02. SHP to issue. Sent on signature on 21.02.
RPN issued Step 2.
G&amp;T reviewed the cost on 18.03. 
SHP issued Step 3.
Cost AGREED on 23.04. SHP to issue Step 4. Sent on signature on 29.04.</v>
          </cell>
        </row>
        <row r="450">
          <cell r="A450" t="str">
            <v>R-VAR-0438</v>
          </cell>
          <cell r="C450" t="str">
            <v>DOORS IN STAIRCASES 13 AND 15</v>
          </cell>
          <cell r="U450">
            <v>2</v>
          </cell>
          <cell r="AJ450" t="str">
            <v>SOMBP sent Step 1 on 21.12. G*T to cost. CAlum sent question on 4.01 - SOMBP updated Step1 file on 12.01 and 16.01. G&amp;T costed revised file on 17.01. Max oked on 17.01. SOMBP sent a revised Step 1 to G&amp;T on 19.01. G&amp;T costed on 23.01. SOMBP uploaded on 23.01. SHP to issue. Sent on signature on 30.01.
RPN didn't issue Step 2.
SHP issued Step 3.
RPN issued basis for commercial discussion on 21.02. G&amp;T reviewed on 08.03. RPN responded on 15.03 and 25.03 and 29.04. SHP checked that fake marble can't be done by FMS. G&amp;T responded on 13.05. RPN responded on 14.05. Cost AGREED on 04.06. G&amp;T sent cost file to SHP on 07.06. SHP to issue Step 4. Sent on signautre on 12.06.
SOMBP to revise scope - marble - error. No change.</v>
          </cell>
        </row>
        <row r="451">
          <cell r="A451" t="str">
            <v>R-VAR-0439</v>
          </cell>
          <cell r="C451" t="str">
            <v>BLDG S1 - SALLE S1 GLAZED DOOR</v>
          </cell>
          <cell r="U451">
            <v>2</v>
          </cell>
          <cell r="AJ451" t="str">
            <v>Step 1 adrafted by Marina, sent to G&amp;T on 8.01.24. G&amp;T to cost. Marina - check the scope with SOMBP - sent to Dominic and Morgan on 16.01. SOMBP to check the scope. SOMBP resent variaiton to G&amp;T on 16.01. G&amp;T sent cost on 17.01. SHP to issue. Sent for signature on 19.01.
RPN didn't issue Step 2.
SHP issued Step 3.
RPN issued basis for commercial discussion on 14.02. G&amp;T reviewed on 04.03. RPN responded on 08.03. G&amp;T responded as cost neutral cost AGREED on 08.03. G&amp;T sent to SHP cost file on 11.03. SHP to issue. Sent on sognature on 15.03</v>
          </cell>
        </row>
        <row r="452">
          <cell r="A452" t="str">
            <v>R-VAR-0440</v>
          </cell>
          <cell r="C452" t="str">
            <v>ENERGY TUNNEL CABLE CONTAINMENT</v>
          </cell>
          <cell r="U452">
            <v>4</v>
          </cell>
          <cell r="AJ452" t="str">
            <v>SOMBP sent Step 1 to G&amp;T on 11.04. G&amp;T costed on 02.05. SOMBP uploaded on 06.05. SHP to issue. Sent for signature on 09.05.
RPN didn't issue Step 2.
SHP issued Step 3. RPN to issue commercial proposal - still not issued. G&amp;T sent cost DETERMINATION on 15.10. SHP to issue.</v>
          </cell>
        </row>
        <row r="453">
          <cell r="A453" t="str">
            <v>R-VAR-0441</v>
          </cell>
          <cell r="C453" t="str">
            <v>DISTRIBUTION BOARD PROTECTIVE DEVICES</v>
          </cell>
          <cell r="U453">
            <v>4</v>
          </cell>
          <cell r="AJ453" t="str">
            <v>SOMBP uploaded im PMweb on 08.03. Benoit oked on 14.03. SHP cancelled on 18.03. not needed. Reopened on 19.03 - works are done. Investigate when the change was agreed by SHP. SHP to issue Step 1. Sent on signature on 19.03.
RPN didn't issue Step 2.
SHP issued Step 3.
RPN issued commercial proposal on 05.07. SOMBP responded to Clare's scope from 15.07 on 29.07. G&amp;T assessed on 31.07. RPN responded on 27.08. G&amp;T assessed on 04.09. RPN responded on 23.09. G&amp;T replied on 01.10. RPN responded on 23.10. G&amp;T replied on 05.11. G&amp;T DETERMINED on 19.11. SHP to issue. Sent on signature on 25.11.</v>
          </cell>
        </row>
        <row r="454">
          <cell r="A454" t="str">
            <v>R-VAR-0442</v>
          </cell>
          <cell r="C454" t="str">
            <v>COOLING LOOP BACKBONE</v>
          </cell>
          <cell r="U454">
            <v>4</v>
          </cell>
          <cell r="AJ454" t="str">
            <v>SOMBP sent Step 1 to G&amp;T on 23.01. G&amp;T costed on 26.01. SOMBP uploaded on 29.01. Youssef sent a comment on 30.01. SOMBP to check - G&amp;T to check BOQ per Cedric E email on 31.01, Clare asked question on 14.02 - SOMBP responded on 20.02. G&amp;T to cost - first RPN to response on MEP queries so we can revise Step 1. G&amp;T costed on 01.05. SHP to issue. Sent for signature on 07.05.
RPN didn't issue Step 2.
SHP issued Step 3. RPN issued commercial proposal on 03.07. G&amp;T assessed on 15.07 - email recalled. RPN provided details on 16.07. SHP responded to Clare's email from 15.07 on 17.07. G&amp;T reviewed the cost on 15.08. RPN to respond - not responded. G&amp;T issued DETERMINATION 06.05. SHP to issue. Sent on signature on 09.05.</v>
          </cell>
        </row>
        <row r="455">
          <cell r="A455" t="str">
            <v>R-VAR-0443</v>
          </cell>
          <cell r="C455" t="str">
            <v>Wallpaper repair - Assembly Hall</v>
          </cell>
          <cell r="U455">
            <v>3</v>
          </cell>
          <cell r="AJ455" t="str">
            <v>Max drafted Step 1 on 08.02. Max sent Step 1 to G&amp;T on 08.02. G&amp;T costed on 12.02. SHP to issue. Sent on signature on 14.02.
RPN issued Step 2.
G&amp;T reviewed cost on 08.03. SHP issued Step 3. Sent on signature on 11.03.
RPN responded to G&amp;T cost on 15.03. G&amp;T reviewed on 18.03. RPN responded on 25.03. G&amp;T cost AGREDD on 16.04. SHP to issue Step 4. First G&amp;T provided explanation to Alex email from 17.04 on 28.05. Sent on signature on 29.05.</v>
          </cell>
        </row>
        <row r="456">
          <cell r="A456" t="str">
            <v>R-VAR-0444</v>
          </cell>
          <cell r="C456" t="str">
            <v>BLDG A - ACCESS RAMP TO DELEGATES RESTAURANT TERRACE</v>
          </cell>
          <cell r="U456">
            <v>2</v>
          </cell>
          <cell r="AJ456" t="str">
            <v>SOMBP sent Step 1 to G&amp;T on 19.01. G&amp;T to cost. 
SOMBP to revise per Max comment. SOMBP sent step 1 revised on 23.01. G&amp;T costed on 08.03. SOMBP uploaded on 12.03. SHP to issue. Sent on signature on 18.03.
RPN issued Step 2. G&amp;T assessed on 17.04. 
SHP issued Step 3.
Cost AGREED on 13.05. G&amp;T sent cost file to SHP on 23.05. SHP to issue. Sent on signature on 24.05.</v>
          </cell>
        </row>
        <row r="457">
          <cell r="A457" t="str">
            <v>R-VAR-0445</v>
          </cell>
          <cell r="C457" t="str">
            <v xml:space="preserve">Fake marble finishing in L01 </v>
          </cell>
          <cell r="U457">
            <v>3</v>
          </cell>
          <cell r="AJ457" t="str">
            <v>SHP to issue Step 1. Need to discuss cost sharing. Andrea provided details on 24.01. Draft sent on review on 24.01. Zeynep oked on 30.01. Snet to G&amp;T on 30.01. G&amp;T costed on 19.02. SHP to issue. Sent on signature on 26.02.
RPN issued Step 2.
SHP replied on 19.03 to G&amp;T on cost split. G&amp;T reviewed the cost on 21.03. RPN responded on 22.03. RPN to coordinate cost split with SHP.
SHP issued Step 3.
Meeting by SHP on 29.05 cost split agreed. RPN revised cost file on 29.05. Agreed on 21.06, G&amp;T sent cost to SHP. SHP to issue. Sent on signature on 25.06.</v>
          </cell>
        </row>
        <row r="458">
          <cell r="A458" t="str">
            <v>R-VAR-0446</v>
          </cell>
          <cell r="C458" t="str">
            <v xml:space="preserve">Hungarian room guiderails </v>
          </cell>
          <cell r="U458">
            <v>3</v>
          </cell>
          <cell r="AJ458" t="str">
            <v>SHP to issue Step 1. Andrea provided details on 17.01. Draft sent on review on 24.01. Zeynep oked on 30.01. Sent to G&amp;T on 30.01. G&amp;T costed on 23.02. SHP to issue. Sent on signature on 27.02.
RPN issued Step 2.
G&amp;T reviewed on 20.03. RPN responded on 20.03. G&amp;T cost AGREED on 22.03.
SHP issued Step 3.
SHP to issue Step 4. Sent on signature on 27.03.</v>
          </cell>
        </row>
        <row r="459">
          <cell r="A459" t="str">
            <v>R-VAR-0447</v>
          </cell>
          <cell r="C459" t="str">
            <v>BLDG S1 SENSITIVE ROOMS</v>
          </cell>
          <cell r="U459">
            <v>4</v>
          </cell>
          <cell r="AJ459" t="str">
            <v>SOMBP sent Step 1 to G&amp;T on 19.01. G&amp;T cost issued on 29.01. G&amp;T to revise the cost per Stefano email on 30.01. Clare responded to Stefano on 06.02. G&amp;T to revise the cost per Stefano clarification on 06.02 - G&amp;T revised on 09.02. SOMBP uploaded on 09.02. SHP to issue. Sent on signature on 14.02.
RPN didn't issue Step 2.
SHP issued Step 3.
RPN issued cost proposal on 28.03. SOMBP replied Clare question on 11.04. G&amp;T assessed on 11.04. RPN responded on 14.05. G&amp;T responded on 23.05. RPN responded on 25.06. G&amp;T sent cost determination on 05.07. SHP to issue Step 4. First G&amp;T added cost shift statemenet on 15.07. Sent on signature on 07.08.</v>
          </cell>
        </row>
        <row r="460">
          <cell r="A460" t="str">
            <v>R-VAR-0448</v>
          </cell>
          <cell r="C460" t="str">
            <v>BLDGS B &amp; C - FLS POWER SUPPLY CABLE SECTIONS</v>
          </cell>
          <cell r="U460">
            <v>4</v>
          </cell>
          <cell r="AJ460" t="str">
            <v>SOMBP sent Step 1 on 02.02. G&amp;T costed on 22.02. SOMBP revised quanitities on 01.03. G&amp;T recosted on 11.03. SOMBP uploaded on 11.03. Rosana oked on 14.03. SHP to issue. Sent on signature on 09.04.
RPN didn't issue Step 2.
SHP issued Step 3. 
G&amp;T sent determination on 05.07. RPN issued commercial proposal on 05.07. G&amp;T assessed on 18.07. SOMBP provided scope comments per Marina's email from 09.07 on 31.07. RPN replied on 17.09. G&amp;T responded (awaited AECOM responce) on 05.11. RPN to replied on 27.11. G&amp;T responded on 13.12. RPN replied on 10.02. G&amp;T responded on 25.02. RPN replied on 12.03. G&amp;T cost AGREED on 14.03. G&amp;T sent cost file to SHP on 18.03. On hold to check scope per Patrick email from 09.05 - all good per meeting on 15.05. SHP to issue. Sent on signature on 07.04.</v>
          </cell>
        </row>
        <row r="461">
          <cell r="A461" t="str">
            <v>R-VAR-0449</v>
          </cell>
          <cell r="C461" t="str">
            <v>BLDG C SENSITIVE ROOMS - SALON RUSSE + LOBBY</v>
          </cell>
          <cell r="U461">
            <v>1</v>
          </cell>
          <cell r="AJ461" t="str">
            <v>SOMBP sent Step 1 on 31.01. Step 0 meeting on 06.02. G&amp;T costed on 07.03. G&amp;T to correct the cost per SOMBP email form 18.03 - G&amp;T revised on 22.03. SOMBP uploaded on 27.03. SHP to issue. First SOMBP to edit per Max comment from 24.04. SOMBP sent revision on 26.04. SHP to issue. Sent on signatures on 26.04.
RPN didn't issue Step 2. TIA recieved on 07.05.
SHP issued Step 3. RPN issued commercial proposal on 25.06. G&amp;T assessed on 12.07. RPN reviewed on 23.07. G&amp;T responded on 25.07. RPN agreed with Determination on 25.07. Split the cost and agree on 25.07. SHP to issue. First G&amp;T corrected cost file per Alex email 30.07. Sent on signature on 31.07.</v>
          </cell>
        </row>
        <row r="462">
          <cell r="A462" t="str">
            <v>R-VAR-0450</v>
          </cell>
          <cell r="C462" t="str">
            <v>BLDG C SENSITIVE ROOMS - SALLE 1 AND 2</v>
          </cell>
          <cell r="U462">
            <v>1</v>
          </cell>
          <cell r="AJ462" t="str">
            <v>SOMBP shared step 1 on 31.01. Step 0 meeting on 06.02. G&amp;T costed on 20.03. SOMBP uploaded on 27.03. SHP to issue. SOMBP shared layout from the contract set that shows an emergency light in Salle 2 to G&amp;T per email on 11.04.  Max oked on 22.04. G&amp;T checked 1 item if descope needed on 22.04. Sent on signature on 24.04.
RPN didn't issue Step 2.
SHP issued Step 3. RPN issued commercial proposal on 25.06. G&amp;T assessed on 12.07. Checked on site RPN/G&amp;T/SOMBP on 25.07. RPN updated cost file on 31.07. G&amp;T responded on 06.08. Agree to DETERMINE on 27.08. G&amp;T issued determination to SHP on 03.09. SHP to issue. Sent on signature on 12.09.</v>
          </cell>
        </row>
        <row r="463">
          <cell r="A463" t="str">
            <v>R-VAR-0451</v>
          </cell>
          <cell r="C463" t="str">
            <v>BLDG A - PUBLIC ADDRESS SPEAKERS (CDP)</v>
          </cell>
          <cell r="U463">
            <v>2</v>
          </cell>
          <cell r="AJ463" t="str">
            <v>SOMBP shared Step 1 on 23.02. G&amp;T costed on 01.03. SOMBP uploaded on 01.03. SHP to issue. Sent for signature on 01.03.
RPN didn't issue Step 2.
SHP issued Step 3.
RPN sent commercial proposal on 19.03. G&amp;T assessed on 04.04. RPN responded on 15.05. Meeting done on 23.05. G&amp;T commented on 23.05. SOMBP commented on 29.05. RPN to respond.
G&amp;T to deremine per direction on 15.05 if not agreed - sent on 12.06. SHP to issue. Patrick F oked on 18.06. G&amp;T to corrected cost rate increase 0 on 20.06. SHP to issue. Sent on signature on 21.06.</v>
          </cell>
        </row>
        <row r="464">
          <cell r="A464" t="str">
            <v>R-VAR-0452</v>
          </cell>
          <cell r="C464" t="str">
            <v>Server for AV services</v>
          </cell>
          <cell r="U464">
            <v>3</v>
          </cell>
          <cell r="AJ464" t="str">
            <v>Patrick V drafted Step 1 on 25.01. Sent to G&amp;T on 29.01. G&amp;T costed on 15.02. Patrick V oked cost on 20.02 SHP to issue. Sent on signature on 27.02.
RPN didn't issue Step 2.
SHP issued Step 3.
RPN AGREED with Step 1. SHP to issue Step 4. Sent on signature on 22.03.</v>
          </cell>
        </row>
        <row r="465">
          <cell r="A465" t="str">
            <v>R-VAR-0453</v>
          </cell>
          <cell r="C465" t="str">
            <v>AV Lighting services for AH-XVI-XII-CC</v>
          </cell>
          <cell r="U465">
            <v>2</v>
          </cell>
          <cell r="AJ465" t="str">
            <v>Patrick V drafted Step 1 on 25.01. Sent to G&amp;T on 29.01. Patrick V oked on 30.01. G&amp;T to cost - Patrick V responded to Elliot email form 14.02. G&amp;T asks SHP help to cost this var - Patrick V replied on 05.03. G&amp;T costed on 07.03. SHP to issue. Sent it for signature on 15.03.
RPN didn't issue Step 2.
SHP issued Step 3.
RPN issued basis for commercial discussion on 16.05.
SHP to issue Step 4. Sent on signature on 21.05.</v>
          </cell>
        </row>
        <row r="466">
          <cell r="A466" t="str">
            <v>R-VAR-0454</v>
          </cell>
          <cell r="C466" t="str">
            <v>BLDGS A &amp; S1 - LIFTS 3A, 3B, 29 &amp; 30 WIRE MESH</v>
          </cell>
          <cell r="U466">
            <v>3</v>
          </cell>
          <cell r="AJ466" t="str">
            <v>SOMBP snet Step 1 on 07.02. G&amp;T costed on 14.02. SOMBP uploaded on 16.02. SHP to issue. Sent on signature on 22.02.
RPN didn't issue Step 2.
SHP issued Step 3.
RPN sent commercial proposal on 14.03. G&amp;T Step 3 issued 18/03. Cost AGREED on 17.04. SOMBP provided comments on cost on 18.04. RPN provided cost details on 14.06. SHP to issue Step 4. Sent for signature on 21.06.</v>
          </cell>
        </row>
        <row r="467">
          <cell r="A467" t="str">
            <v>R-VAR-0455</v>
          </cell>
          <cell r="C467" t="str">
            <v>BLDG A PAS PERDUS SMOKE EXTRACTION</v>
          </cell>
          <cell r="U467">
            <v>1</v>
          </cell>
          <cell r="AJ467" t="str">
            <v>SOMBP sent Step 1 to G&amp;T on 29.02. g&amp;T costed on 25.03. Step 0 on 05.03. SOMBP uploaded on 09.04. Cedric oked on 09.04. SHP to issue. Sent on signature on 16.04.
RPN didn't issue Step 2.
SHP issued Step 3.
RPN issued commercial proposal on 07.06. Cedric E commented on 10.06, Lucille on 11.06. G&amp;T assessed on 19.06. Meeting held on 27.06. G&amp;T sent updated cost on 27.06. RPN responded on 02.07. Drawings sent by RPN on 04.07. G&amp;T reviewed on 22.07. RPN responded on 23.07. G&amp;T responded on 02.08. SOMBP advised on scope per Clare's email from 02.08 on 05.08. RPN responded on 09.08. G&amp;T responded on 21.08. RPN cost AGREED on 21.08. G&amp;T sent SHP final cost file on 21.08. RPN responded on Dean's email about TIA on 22.08. SHP to issue. Sent on signature on 27.08.
No cost change, only EoT. SHP to issue.</v>
          </cell>
        </row>
        <row r="468">
          <cell r="A468" t="str">
            <v>R-VAR-0456</v>
          </cell>
          <cell r="C468" t="str">
            <v>BDLG C SENSITIVE ROOMS - COUNCIL CHAMBER</v>
          </cell>
          <cell r="U468">
            <v>1</v>
          </cell>
          <cell r="AJ468" t="str">
            <v>SOMBP shared Step 1 on 22.02. G&amp;T costed on 21.03. SOMBP replied to G&amp;T on 21.03. G&amp;T sent cost revision on 21.03. SOMBP uploaded in 27.03. SHP to issue. G&amp;T edited cost files per email from 09.04 on 17.04. Max oked on 22.04. Sent on signature on 22.04.
RPN didn't issue Step 2.
SHP issued Step 3. RPN issued commercial proposal on 03.07. SOMBP ARCH but not electrical commented per Marina's email from 05.07 on 12.07. SOMBP responded questions from G&amp;T on 16.07. Meeting was held on 17.07.G&amp;T resent the cost file on 17.07. RPN to provide mark ups for cables - SOMBP to confirm - not done. Tech workshop on site is required when Cedric E comes from vacation in August. RPN/G&amp;T/SHP checked cables on site 25.07. SOMBP revised scope - mirrored EL panel on 09.08. 
SHP issued Step 3 Rev 1.
RPN revised the cost on 17.09. G&amp;T replied on 07.10. G&amp;T cost AGREED on 30.10. SHP to issue. Sent on signature on 31.10.
Per site walk on 23.07.2025 SHP made a decision to replace elec panel. SOMBP to revise the scope accordinly, RPN to provide details from EggTelsa - SOMBP proposed to keep panel on 30.07. on site meeting on 08.08. Extent of the works is agreed and validated on 12.08, refer to MMs of EL WTM 5.539 for details. RPN to complete and price the document "salle du conseil - F15.xls" - will be closed with VAR 625.</v>
          </cell>
        </row>
        <row r="469">
          <cell r="A469" t="str">
            <v>R-VAR-0457</v>
          </cell>
          <cell r="C469" t="str">
            <v>BDLG C SENSITIVE ROOMS - SALON FRANCAIS</v>
          </cell>
          <cell r="U469">
            <v>2</v>
          </cell>
          <cell r="AJ469" t="str">
            <v>SOMBP shared Step 1 on 22.02. G&amp;T to costed on 28.03. SOMBP uploaded on 02.04. Max oked on 22.04. SHP to issue. Sent for signatures on 22.04.
RPN didn't issue Step 2. TIA submitted on 01.05.
SHP issued Step 3. RPN issued commercial proposal on 20.06. SOMBP commented per Marina email from 21.06 on 27.06 and on 04.07 per Clare's email. SHP to comment per Marina email from 21.06. G&amp;T sent cost revision on 03.07. Dedicated meeting held on 17.07. G&amp;T resent updated cost file on 17.07. on site walk on 25.07 - G&amp;T costed cheapest solution for chandelier cabling on 07.08. On 22.08 - confirmed to cost the solution for recabling with intervention from above.  The remaining cost to split and agree. Max checked lights with Andrea and FMS, FMS hsa 5 spare parts. RPN recosted on 01.10.2024. G&amp;T to responded on 10.01. RPN responded on 22.10. Cost AGREED on 30.10. G&amp;T updated cost file per Alex email from 01.11 on  01.11. SHP to issue Step 4. Sent on signature on 04.11.
on 05.02.2025 is decided that some of the works are not needed, scope will be less. SOMBP sent revised VAR 457 on 18.02. SHP/Max oked on 20.02. SOMBP issued revision on 21.02. SHP to issue.
G&amp;T sent updated cost file to RPN on 19.03.
RPN revised com proposal on 09.04. G&amp;T assessed on 30.04. RPN responded on 01.05. G&amp;T replied on 02.05 and 13.05. RPN cost AGREED on 28.05. G&amp;T sent final cost files to SHP on 27.06. SOMBP  Lucile confirmed revised scope and cost on 24.07 - no sawings. SHP to issue step 4. Snet on signature on 29.07.</v>
          </cell>
        </row>
        <row r="470">
          <cell r="A470" t="str">
            <v>R-VAR-0458</v>
          </cell>
          <cell r="C470" t="str">
            <v>Bldg. S1 UN radio</v>
          </cell>
          <cell r="U470">
            <v>2</v>
          </cell>
          <cell r="AJ470" t="str">
            <v>Marina drafted Step 1 on 23.02. Max oked on 23.02. Patrick V oked on 28.02. Sent to G&amp;T on 28.02. G&amp;T sent cost on 21.03. G&amp;T sent questions to SHP on 03.04. Max replied on 04.04. SHP to issue. Sent on signature on 17.04.
RPN didn't issue Step 2.
SHP issued Step 3. RPN issued commercial proposal on 25.06. G&amp;T assessed on 11.07. RPN responded on 11.07. g&amp;T replied on 17.07 that cost AGREED. RPN confirmed on 17.07. g&amp;T sent final cost file to SHP on 19.07. SHP to issue. Sent on signature on 23.07.</v>
          </cell>
        </row>
        <row r="471">
          <cell r="A471" t="str">
            <v>R-VAR-0459</v>
          </cell>
          <cell r="C471" t="str">
            <v>BLDG A - A.426 ACCESS CONTROL</v>
          </cell>
          <cell r="U471">
            <v>2</v>
          </cell>
          <cell r="AJ471" t="str">
            <v>SOMBP shared Step 1 on 22.02. G&amp;T costed on 05.04. SOMBP uploaded on 05.04. SHP to issue. Sent for signature on 19.04.
RPN didn't issue step 2.
SHP issued Step 3. RPN issued commercial proposal on 05.07. G&amp;T cost DETERMINATION on 22.10. SHP to issue. Sent on signature on 31.10.</v>
          </cell>
        </row>
        <row r="472">
          <cell r="A472" t="str">
            <v>R-VAR-0460</v>
          </cell>
          <cell r="C472" t="str">
            <v>BLDG A - FIRE EXTINGUISHER CABINETS</v>
          </cell>
          <cell r="U472">
            <v>2</v>
          </cell>
          <cell r="AJ472" t="str">
            <v>SOMBP shared Step 1 on 21.02. G&amp;T costed on 08.03. SOMBP added 2 cabinets on 12.03. G&amp;T to update the cost. SOMBP uploaded on 15.03. SHP to issue. SOMBP/G&amp;T checked cost file VL9 on 18.03. Sam oked on 18.03. Sent on signature on 20.03.
RPN didn't issue Step 2.
SHP issued Step 3.
RPN issued commercial proposal on 14.01.2025. G&amp;T assessed on 24.01. RPN responded on 05.02. G&amp;T replied on 11.02 - propsed for determination. RPN responded on 11.02. G&amp;T sent DETERMINATION on 18.02. SHP to issue. Sent on signature on 21.02.
NOD recieved on 02.04.2025.</v>
          </cell>
        </row>
        <row r="473">
          <cell r="A473" t="str">
            <v>R-VAR-0461</v>
          </cell>
          <cell r="C473" t="str">
            <v>BLDG AC GLAZED TUNNEL SLIDING DOORS CODE COMPLIANCE</v>
          </cell>
          <cell r="U473">
            <v>4</v>
          </cell>
          <cell r="AJ473" t="str">
            <v>SOMBP shared Step 1 on 13.03. G&amp;T costed on 04.04. SOMBP uploaded on 05.04. SHP to issue. Sent on signature on 24.04.
RPN issued Step 2.
SHP/BER sent comments to G&amp;T on 24.07. G&amp;T assessed the cost on 07.08. SHP issued Step 3. RPN responded on 26.08. RPN sent cost revision on 05.09. RPN to clarify details per DOminic's email from 07.09.2025 - done RPN sent details on 16.09. SOMBP sent more questions on 17.09. RPN responded on 12.11. G&amp;T replied on 13.11. RPN responded on 17.12. G&amp;T cost AGREED on 23.12. Files recieved from G&amp;T on 23.12. SHP to issue. Sent on signature on 05.01.2026.</v>
          </cell>
        </row>
        <row r="474">
          <cell r="A474" t="str">
            <v>R-VAR-0462</v>
          </cell>
          <cell r="C474" t="str">
            <v>BLDG S2 - ELECTRICAL, ARCHITECTURAL AND FLS UPDATES</v>
          </cell>
          <cell r="U474">
            <v>3</v>
          </cell>
          <cell r="AJ474" t="str">
            <v>SOMBP sent Step 1 to G&amp;T on 16.04. G&amp;T costed on 12.06. Cedric E commented on 28.06. G&amp;T sent comments to Cedric E on 09.07. SOMBP uploaded var on 31.07. SOMBP resubmited on 13.08. Benoit oked on 13.08. Sam oked on 15.08. SHP to issue. Sent on signature on 15.08.
RPN didn't issue Step 2.
SHP issued Step 3.
RPN issued RFIs 1290, 2191, 1292 on 24.20, SOMBP responded on 31.10. SOMBP revised Step 3 based on RFI responces on 08.11. No annexes will be updated per Cedric E email on 12.11. G&amp;T costed on 15.11. SOMBP uploaded on 18.11. SHP to issue Step 3 Rev 1.
RPN to issue commercial proposal - target date 20.01.2025, still not recieved - G&amp;T sent determination cost file on 15.10. SHP to issue - G&amp;T clarified the cost per Alex email from 17.10. Sent on signature on 17.10.
Per buildability check ceiling demolitions can not be ommitted - safety issues + RPN found FLS wall issue. SOMBP drafted revision on 29.01.2026. SHP issued. RPN to recost. Per RFI 1502  cost file shoudl be corrected for fire detection - G&amp;T confirmed that per Step 3 rev 1 where annexes were not revised cost file is right.</v>
          </cell>
        </row>
        <row r="475">
          <cell r="A475" t="str">
            <v>R-VAR-0463</v>
          </cell>
          <cell r="C475" t="str">
            <v>BLDG B - ELECTRICAL, ARCHITECTURAL AND FLS UPDATES</v>
          </cell>
          <cell r="U475">
            <v>3</v>
          </cell>
          <cell r="AJ475" t="str">
            <v>SOMBP to issue Step 1 - SHP strategy confirmation needed - adjustments to existing conditions by retaining existing connectivity and by relocating equipment to achieve minimal damage to heritage finishes - target date Nov 2024. SOMBP sent Step 1 to G&amp;T and RPN on 01.11. G&amp;T costed on 20.11. Cedric E confirmed MEP cost on 02.12. SOMBP commented cost on 02.12. G&amp;T recosted on 05.12. SOMBP submitted updated SubSet 461 on 20.12. and retracted as 1 doc missing, resubmitted on 23.12 and revised on 28.02. G&amp;T recosted on 20.03. SOMBP sent comments on 15.04. G&amp;T recosted on 15.04. SOMBP found discrepancy on 16.04. G&amp;T responded on 16.04. SOMBP uploaded on 17.04. SHP to issue, sent on signature on 25.04. SOMBP sent revised Annex 1 on 12.05. SOMBP sent to RPN clarification in color coding of the history of changes on 23.05.
RPN didn't issue Step 2.
SHP issued Step 3. RPN to issue commercial proposal - still not issued. G&amp;T sent determination cost file on 15.10. SHP to issue. Sent on signature on 17.10.</v>
          </cell>
        </row>
        <row r="476">
          <cell r="A476" t="str">
            <v>R-VAR-0464</v>
          </cell>
          <cell r="C476" t="str">
            <v>C14-C15 cables for the network switches</v>
          </cell>
          <cell r="U476">
            <v>3</v>
          </cell>
          <cell r="AJ476" t="str">
            <v>Dragos issued Step 1 on 18.03. Sent to G&amp;T on 18.03. G&amp;T cost file sent 27/03. SHP to review and issue. Sent on signature on 10.04.
RPN didn't issue Step 2. TIA for S1.
SHP issued Step 3. RPN to issue commercial proposal.
G&amp;T sent determination on 05.07. SHP to issue Step 4 determination. First G&amp;T corrected cost file on 19.07. Sent on signature on 23.07.
Commercial proposal recieved from RPN on 31.07. Dragos accepted additional scope but contested quantities of hours. G&amp;T revised Step 4 cost on 21.08. G&amp;T shared with RPN on 21.08. RPN cost AGREED on 17.09. G&amp;T sent final cost file to SHP on 10.10. SHP to issue. Sent on signature on 11.10.
G&amp;T updated cost file per Amendment 7 and Patrick F email from 30.10. on 31.10. SHP to issue.</v>
          </cell>
        </row>
        <row r="477">
          <cell r="A477" t="str">
            <v>R-VAR-0465</v>
          </cell>
          <cell r="C477" t="str">
            <v>BLDG AC - A.07 &amp; A.07-2 PLANTROOMS VENTILATION UPS</v>
          </cell>
          <cell r="U477">
            <v>4</v>
          </cell>
          <cell r="AJ477" t="str">
            <v>SOMBP sent Step 1 to G&amp;T on 22.03. G&amp;T costed on 26.04. SOMBP uploaded on 29.04. SHP to issue. Sent for signautre on 03.05.
RPN issued Step 2.
G&amp;T assessed on 17.03. SOMBP to provide scope comment per Marina's email from 04.03 - not responded. RPN responded to G&amp;T on 18,03, G&amp;T replied on 27.03. RPN responded on 08.04. G&amp;T replied on 22.04. RPN responded on 28.04 G&amp;T cost AGREED on 29.04. SHP to issue. SHP to coordinate with FMS - meeting on 02.05. Cedric K to finalise tech decision if mechanical of natural ventilation is needed - go with current solution per meeting on 22.08.2025. Sent on signature on 25.08.2025.
On 08.10 FMS confirmated that they will not move UPS battery pack that is needed prioir the start of the works. To reinstate these works in VAR scope. G&amp;T sent updated cost file to RPN on 13.10 and 16.10. RPN to respond.</v>
          </cell>
        </row>
        <row r="478">
          <cell r="A478" t="str">
            <v>R-VAR-0466</v>
          </cell>
          <cell r="C478" t="str">
            <v>Private toilets for the Directors in BLDG S1 - CANCELLED</v>
          </cell>
          <cell r="U478" t="str">
            <v/>
          </cell>
          <cell r="AJ478" t="str">
            <v>Youssef dragted Step 1 on 14.03. Sent to G&amp;T on 15.03. G&amp;T costed on 21.03. SHP to issue - check scope with var 303 and cost, Youssef revised Step 1 on 28.03. Revision shared with G&amp;T on 09.04. G&amp;T revised the cost on 09.04. However, G&amp;T still to revise the cost per Youssef comment on 09.04. Youssef replied to Clum from 10.04 on 14.04. G&amp;T costed on 17.04. Youssef sent comments on 18.04 and 19.04. G&amp;T recosted on 23.04. Step 1 sent on signature on 29.04 - nice to have, withdrawn</v>
          </cell>
        </row>
        <row r="479">
          <cell r="A479" t="str">
            <v>R-VAR-0467</v>
          </cell>
          <cell r="C479" t="str">
            <v>Library archives LON should be removed during works</v>
          </cell>
          <cell r="U479">
            <v>4</v>
          </cell>
          <cell r="AJ479" t="str">
            <v>Marina drafted Step 1 on 25.07. Sent to G&amp;T on 25.07. G&amp;T costed on 02.08. SHP to issue. Sent on signature on 07.08.
RPN didn't issue Step 2.
SHP issued Step 3. RPN issued commercial response on 09.12.2024. SHP to reply, first organise dedicated session (SHP/RPN/Pelichet/Archives Dept) - done on 24.01. SHP to revise Step 3 after info from Libaray recieved - recieved on 31.01. SHP to add NCF 296. Step 3 rev 1 sent to Archives for review on 03.02. Archives commented on 04.02. SHP issued Step 3 Rev 1.
SHP will revise Step 3 Rev 2 per Archive reqest from 25.03.2025. Reviewed by L&amp;A on 28.03. On hold by L&amp;A/Wouter since 02.04. Confirmed by L&amp;A on 04.04.
RPN issued commercial proposal on 29.04. G&amp;T assessed on 07.05. RPN responded on 08.06. G&amp;T sent finsl cost files to SHP on 08.06. SHP to check the cost - internal meeting on 15.05, Alex cheked move rates with Calum. SHP/Alex requested Calum to check storage cost with RPN on 22.05. G&amp;T revised cost on 29.05. SHP to issue. Sent for signature on 02.06.</v>
          </cell>
        </row>
        <row r="480">
          <cell r="A480" t="str">
            <v>R-VAR-0468</v>
          </cell>
          <cell r="C480" t="str">
            <v>BLDG. A EMERGENCY LIGHTING AND RAMP</v>
          </cell>
          <cell r="U480">
            <v>1</v>
          </cell>
          <cell r="AJ480" t="str">
            <v>SOMBP sent step 1 on 26.03. G&amp;T costed on 04.04. SOMBP revised scope on 08.04. G&amp;T recosted on 08.04. Sam oked on 22.04. SOMBP uploaded on 08.04. SHP to issue. Sent on signature on 18.04.
RPN didn't issue Step 2. RPN issued TIA on 01.05.
SHP issued Step 3. RPN issued commercial proposal on 16.05. G&amp;T to review. To have a meeting on 21.05. RPN sent cost on 21.05. G&amp;T revised cost on 22.05. RPN to check with EggTelsa. One more meeting on 28.05 - RPN didn't attend.
G&amp;T determined per direction on 15.05 on 28.05. SHP to issue. Sent on signature on 29.05.</v>
          </cell>
        </row>
        <row r="481">
          <cell r="A481" t="str">
            <v>R-VAR-0469</v>
          </cell>
          <cell r="C481" t="str">
            <v>Air extraction in video projector in the interpreter booth, room VII</v>
          </cell>
          <cell r="U481">
            <v>4</v>
          </cell>
          <cell r="AJ481" t="str">
            <v>Youssef drafted Step 1 on 25.03. Sent to G&amp;T for costingon 26.03. G&amp;T to cost - SHP replied on Elliot email from 11.04 on 15.04. Youssef replied to Cedric E from 16.04 on 17.04. Cedric E - SOMBP will come back to SHP with final position by the end of the 19.04. G&amp;T costed on 17.04. Youssef provided cost comment on 18.04. G&amp;T revised on 23.04. Youssef oked on 25.04. SHP to issue Step 1. Sent on signature on 29.04.
SOMBP to develop alternative solution - Youssef revised Step 1 on 18.09. SHP sent Step 1 Rev 1 to G&amp;T on 19.09. G&amp;T costed on 17.10. SHP to issue Step 1 rev 1.
RPN issued Step 2.
SHP/YOM provided cost comments on 31.07. G&amp;T responded to RPN on 16.09. On hold by SHP - Cedric K since 29.08.2025. SHP to withdraw per PAF from 03.11.</v>
          </cell>
        </row>
        <row r="482">
          <cell r="A482" t="str">
            <v>R-VAR-0470</v>
          </cell>
          <cell r="C482" t="str">
            <v>BLDG S1 ELECTRICAL CONNECTION FOR BLINDS</v>
          </cell>
          <cell r="U482">
            <v>3</v>
          </cell>
          <cell r="AJ482" t="str">
            <v>SOMBP sent Step 1 to G&amp;T on 22.04. G&amp;T costed on 29.04. SOMBP uploaded whole package to PMWeb on 29.04. SHP to issue. Sent for signature on 03.05.
RPN didn't issue Step 2.
SHP issued Step 3. RPN issued commercail proposal on 05.06. G&amp;T to assess. SOMBP to commetn scope per email on 06.06 and 19.06 - responded by Andrea S on 20.06. G&amp;T sent cost assessment on 19.06 and 21.06. Cost DETERMINED on 30.07. SHP to issue. Sent on signature on 05.08.</v>
          </cell>
        </row>
        <row r="483">
          <cell r="A483" t="str">
            <v>R-VAR-0471</v>
          </cell>
          <cell r="C483" t="str">
            <v>BLDG A - PLANTROOM HALL 14 FLS</v>
          </cell>
          <cell r="U483" t="str">
            <v>TOP</v>
          </cell>
          <cell r="AJ483" t="str">
            <v>SOMBP sent Step 1 to G&amp;T on 02.04. G&amp;T costed on 29.04. SOMBP uploaded on 30.04. SHP to issue. Sent on signature on 08.05.
RPN didn't issue Step 2.
SHP issued Step 3. RPN issued commercial proposal and TIA on 21.06. G&amp;T responded on 02.07. RPN resent cost on 16.07. G&amp;T responded on 17.07. RPN replied on 08.08. G&amp;T set cost review to RPN on 16.08. SOMBP commented per Elliot email from 16.08 on 19.08. RPN responded on 28.08. G&amp;T response provided 30/08, RPN confirmed AGREEMENT on 04.09. G&amp;T sent final cost file to SHP on 05.09. SHP to issue. Sent on signature on 10.09.</v>
          </cell>
        </row>
        <row r="484">
          <cell r="A484" t="str">
            <v>R-VAR-0472</v>
          </cell>
          <cell r="C484" t="str">
            <v>BLDG S1 - ROOMS S.023 &amp; S.023.1</v>
          </cell>
          <cell r="U484">
            <v>2</v>
          </cell>
          <cell r="AJ484" t="str">
            <v>SOMBP sent Step 1 to G&amp;T on 03.04. G&amp;T costed on 29.04. SOMBP uploaded to PMWeb on 30.04. SHP to issue. Sent for signature on 03.05.
RPN didn't issue Step 2.
SHP issued Step 3. RPN issued commercial proposal on 03.06. SOMBP commented scope per email on 06.06 - 08.06. G&amp;T reviewed on 17.06. RPN responded on 23.08. G&amp;T replied on 01.10. RPN responded on 09.10. G&amp;T responded on 10.10. RPN replied on 10.10. G&amp;T cost AGREED on 31.10. SHP to issue. Sent on signature on 01.11.</v>
          </cell>
        </row>
        <row r="485">
          <cell r="A485" t="str">
            <v>R-VAR-0473</v>
          </cell>
          <cell r="C485" t="str">
            <v>BLDG C - L01 FIRE CURTAINS STRUCTURAL IMPACT</v>
          </cell>
          <cell r="U485">
            <v>2</v>
          </cell>
          <cell r="AJ485" t="str">
            <v>SOMBP sent Step 1 to G&amp;T on 15.04. G&amp;T costed on 21.05. SOMBP uploaded on 21.05. Max - needs scope revision on 22.05. Max redrafted it on 27.08. G&amp;T recosted on 03.07. Max corrected Annex 1 per David's email from 28.06 on 04.07. SHP to issue. Sent on signature on 05.07.
RPN didn't issue Step 2.
SHP issued Step 3. RPN didn't issue commercial proposal.
RPN tech issue - checked slab of the galery, there is issue with punctual intervention in contruction/safety. Other method statement is needed -&gt; do site survey, based on it ether price or revise scope. SOMBP revised Step 1 text on 09.10 and 10.10. SHP issued Step 3 rev 1. SOMBP clarified scope on 11.11. Max disagrees with Annex 1 update on 12.11 - 2 kaba per curtain. SOMBP revised on 13.11. Max/SHP revised Annex 1 on 13.11. SHP to issue Step 3 rev 2.
RPN issued commercial proposal, to send with no KABA cost, on 29.11. G&amp;T responded on 20.01. RPN replied on 04.02. G&amp;T to respond. SHP/Andrea to advise on C.Aureo scope per marina's email 05.02 adn Calum's email from 19.02 - partially responded on 16.04. SHP/Max to finalise painting scope with RPN/Matteo on site on 15.05. RPN revised the cost on 20.05. G&amp;T responded on 27.05. 
SOMBP adjustd the scope per actual decision on site, Max edited on 18.06, SOMBP uploaded on 19.06. SHP issued Step 3 rev 3.
RPN recosted on 15.09. G&amp;T sent cost comments on 23.09. SOMBP revised the scope - ceiling demo on 25.09 and 30.09.  SHP issued Step 3 r4. 29.10: possible revision is needed due to plenum ducts - no revision/no change per PAF decision, if needed for record - RPN to issue RFI. RPN revised com proposal accordingly on 15.10. SHP to revise Risk Pot - leave the original scope as residual risk pot use and the remaining / additional scope will be allocated to the contingency. G&amp;T replied on 10.11. RPN responded on 25.11. G&amp;T replied on 03.12. RPN cost AGREED on 03.12. G&amp;T sent cost file to SHP on 06.03. SHP to issue. Sent on signature on 10.03.</v>
          </cell>
        </row>
        <row r="486">
          <cell r="A486" t="str">
            <v>R-VAR-0474</v>
          </cell>
          <cell r="C486" t="str">
            <v>BLDG C - ENTRANCE AND PRESS BAR NEW STONE LAYOUT</v>
          </cell>
          <cell r="U486">
            <v>3</v>
          </cell>
          <cell r="AJ486" t="str">
            <v>SOMBP sent Step 1 to G&amp;T on 01.05. G&amp;T costed on 13.05. SOMBP uploaded on 14.05. SHP to issue. Sent on signature on 20.05.
RPN issued Step 2.
Meeting held on 11.06. G&amp;T sent cost file to RPN on 11.06. RPN responded on 13.06. SOMBP commented scope per 06.06 on 13.06. G&amp;T sent revised cost on 13.06. RPN cost GAREED on 13.06. G&amp;T sent final cost file to SHP on 14.06. SHP to issue Step 34. Sent on signature on 21.06.</v>
          </cell>
        </row>
        <row r="487">
          <cell r="A487" t="str">
            <v>R-VAR-0475</v>
          </cell>
          <cell r="C487" t="str">
            <v>BLDG AC - LOP KEY SWITCH</v>
          </cell>
          <cell r="U487">
            <v>5</v>
          </cell>
          <cell r="AJ487" t="str">
            <v>SOMBP sent Step 1 to G&amp;T on 18.04. G&amp;T costed on 29.04. SOMBP uploaded to PMWebon 01.05. SHP to issue - Alex ok, ready for signatures, check with Cedric withdrawal. Sent for signture on 09.05.
RPN didn't issue Step 2. SHP issued Step 3.
On 10.12.2024 SHP/Sam found probable discrepancies - no issues. LOP of Lift 7a&amp;&amp;b, it`s fine. The fire and maintenance key switch located together, as it should be. The key stayed prisoner for the LOP of Lift 7a/7b - will be corrected via DayWork.
RPN to issue com proposal.</v>
          </cell>
        </row>
        <row r="488">
          <cell r="A488" t="str">
            <v>R-VAR-0476</v>
          </cell>
          <cell r="C488" t="str">
            <v>BLDG AB - SALLE XIV ENTRANCE - EI30 DOOR - UPS</v>
          </cell>
          <cell r="U488">
            <v>1</v>
          </cell>
          <cell r="AJ488" t="str">
            <v>SOMBP sent Step 1 to G&amp;T on 26.04. G&amp;T to costed on 10.05. SOMBP uploaded on 13.05. SHP to issue. Sent on signature on 20.05.
RPN didn't issue Step 2.
SHP issued Step 3. RPN sent commercial proposal on 03.07. G&amp;T responded on 04.07. SOMBP commented scope per Marina's email on 04.07. RPN responded on 16.07. G&amp;T replied to RPN on 18.07. Jaime provided scope comments per Alistair email on 18.07. RPN to reply to G&amp;T email from Alistari 19.07 - cost reviseion sent on 29.07. G&amp;T reviewed on 30.07. Cost AGREED on 30.07, files recieved from G&amp;T on 30.07. SHP to issue.</v>
          </cell>
        </row>
        <row r="489">
          <cell r="A489" t="str">
            <v>R-VAR-0477</v>
          </cell>
          <cell r="C489" t="str">
            <v>BLDG A - Assembly Hall Gallery - Sound Operator's Area</v>
          </cell>
          <cell r="U489">
            <v>2</v>
          </cell>
          <cell r="AJ489" t="str">
            <v>Max sent Step 1 to G&amp;T on 17.04. G&amp;T costed on 22.04. Max oked on 22.04. SHP to issue. Sent on signature on 24.04.
RPN didn't issue Step 2.
SHP issued Step 3. RPN issued commercial proposal on 03.06. G&amp;T Step 3 issued 07/06/24. RPN responded on 24.06. G&amp;T replied on 26.06 and 04.07. RPN responded on 04.07. G&amp;T cost AGREED on 09.07. G&amp;T sent final cost files to SHP on 11.07. SHP to issue. Sent on signatures on 23.07.</v>
          </cell>
        </row>
        <row r="490">
          <cell r="A490" t="str">
            <v>R-VAR-0478</v>
          </cell>
          <cell r="C490" t="str">
            <v>​Descope of AV equipment installed in meeting Rooms (CDP???)</v>
          </cell>
          <cell r="U490">
            <v>3</v>
          </cell>
          <cell r="AJ490" t="str">
            <v>Patrick V drafted Step 1 on 04.04. Step 1 sent to G&amp;T on 09.04. G&amp;T to costed on 23.04. G&amp;T run a meeting with Patrick V, sent revised cost on 25.04. SHP to issue. Sent on signature on 03.05.
RPN didn't issue Step 2.
SHP issued Step 3. RPN issued cost proposal on 31.05. G&amp;T assessed cost on 01.08. 
SHP to clarify electrical scope per RPN email on 31.05 - 
first 3P/RPN to provide info. Tech meeting on 03.09. G&amp;T revised cost on 13.09. RPN responded on 01.10. G&amp;T replied on 15.10. RPM cost AGREED on 15.10. G&amp;T sent cost files to SHP on 04.11. SHP to issue. Sent on signature on 18.11. 
25.02.2026 RPN sent email - scope to be updated (TV size 65" = 75"). SHP/PAV confirmed rescope on 04.03. G&amp;T to asses. Will be issued as separate var 654.</v>
          </cell>
        </row>
        <row r="491">
          <cell r="A491" t="str">
            <v>R-VAR-0479</v>
          </cell>
          <cell r="C491" t="str">
            <v>Descope Exterior Tactile Paving</v>
          </cell>
          <cell r="U491">
            <v>4</v>
          </cell>
          <cell r="AJ491" t="str">
            <v>Marina drafted Step 1 on 10.04. Step 1 sent to G&amp;T on 10.04. G&amp;T costed on 10.04. Zeynep oked on 11.04. SHP to issue. Sent on signature on 22.05.
RPN didn't issue Step 2.
SHP issued Step 3. RPN to issue commercial proposal - still not recieved. G&amp;T issued cost DETERMINATION on 15.10. SHP to issue. Sent on signature on 17.10. 23.10, RPN agree with cost</v>
          </cell>
        </row>
        <row r="492">
          <cell r="A492" t="str">
            <v>R-VAR-0480</v>
          </cell>
          <cell r="C492" t="str">
            <v>Daywork</v>
          </cell>
          <cell r="U492">
            <v>5</v>
          </cell>
          <cell r="AJ492" t="str">
            <v>SHP to issue Step 1 - after var 237 is closed. marina drafted Step 1 on 24.06. Sent on signature on 27.06.
RPN issued Step 2. 
G&amp;T sent agreed cost on 14.02. SHP to issue. Sent on signature on 19.02.</v>
          </cell>
        </row>
        <row r="493">
          <cell r="A493" t="str">
            <v>R-VAR-0481</v>
          </cell>
          <cell r="C493" t="str">
            <v>BLDG AB - SALLE XI L03 BOOTH FIRE DAMPERS</v>
          </cell>
          <cell r="U493" t="str">
            <v>TOP</v>
          </cell>
          <cell r="AJ493" t="str">
            <v>SOMBP sent Step 1 to G&amp;T on 22.04. G&amp;T costed on 29.04. SOMBP uploaded whole package to PMWeb on 29.04. SHP to issue. Sent for signature on 03.05.
RPN didn't issue Step 2.
SHP issued Step 3. RPN to issue commercail proposal. RPN requested to add scope of RFI 1186 on 27.05. RPN to add it to the cost. SOMBP - RFI1186 does not imply additional cost and should not be added to variation per Cedric E email on 14.06.
RPN sent non formal cost from EggTels on 10.06. Meeting SHP/SOMBP/G&amp;T/RPN held on 21.06. Meeting SHP/SOMBP/G&amp;T/RPN/Egg on 24.06. RPN didn't upload to PMWeb. G&amp;T replied on 27.06. RPN marked what line is RFI 1186 on 02.07. G&amp;T sent determination on 10.07. SHP to issue. Sent on signature on 15.07.</v>
          </cell>
        </row>
        <row r="494">
          <cell r="A494" t="str">
            <v>R-VAR-0482</v>
          </cell>
          <cell r="C494" t="str">
            <v>PROJECT DIAGNOSTIC - PROPOSAL FOR PHASE 3 LEAN SUPPORT</v>
          </cell>
          <cell r="U494">
            <v>5</v>
          </cell>
          <cell r="AJ494" t="str">
            <v>Marina drafted Step 1 on 16.04. AG&amp;T costed on 19.06. SHP to issue. Sent on signature on 24.06.
RPN didn't issue Step 2.
SHP issued Step 3. RPN issued commrecial proposal on 04.11. G&amp;T assessed on 09.12. RPN replied on 09.12. G&amp;T cost AGREED on 11.12. G&amp;T sent final cost to SHP on 11.12. SHP to issue. Sent on signature on 16.01.</v>
          </cell>
        </row>
        <row r="495">
          <cell r="A495" t="str">
            <v>R-VAR-0483</v>
          </cell>
          <cell r="C495" t="str">
            <v>ASBESTOS REMOVAL (provisional quantities)</v>
          </cell>
          <cell r="U495">
            <v>5</v>
          </cell>
          <cell r="AJ495" t="str">
            <v>Marina sent draft to Alex on 26.04. G&amp;T costed on 03.05. Sent on signature on 09.05.
RPN issued Step 2.
G&amp;T sent final cost file to SHP on 07.06. SHP to issue Step 4. Sent on signautre on 12.06.</v>
          </cell>
        </row>
        <row r="496">
          <cell r="A496" t="str">
            <v>R-VAR-0484</v>
          </cell>
          <cell r="C496" t="str">
            <v>BLDG A L01 A161 FALSE CEILING EI60</v>
          </cell>
          <cell r="U496">
            <v>2</v>
          </cell>
          <cell r="AJ496" t="str">
            <v>SOMBP sent Step 1 to G&amp;T on 29.04 and 06.05. G&amp;T to costed on 10.05. SOMBP submitted on 13.05. SHP to issue. Sent on signature on 21.05.
RPN didn't issue Step 2.
SHP issued Step 3. RPN sent commercial proposal adn TIA on 04.07. G&amp;T assessed on 15.07.  SOMBP provided comments per Marina email from 05.07 and Alisrair email from 15.07 on 15.07. RPN responded on 26.11. G&amp;T replied on 05.12. SOMBP commented scope per Clare email from 05.12 on 06.12. G&amp;T resent cost assessment on 06.12. RPN responded on 09.01.2025. G&amp;T replied on 14.01. RPN responded on 21.01. SOMBP to confirm scope to RPN per email from 22.01. RPN revised cost on 28.01. G&amp;T replied on 30.01. RPN responded on 30.01. G&amp;T replied to RPN on 04.02. SOMBP commenteed per marina's email from 03.02 on 14.02. RPN responded to G&amp;T on 06.02. G&amp;T replied on 11.02. RPN responded on 20.02. G&amp;T replied on 20.02. RPN responded on 25.02. G&amp;T replied on 26.02. RPN cost AGREED on 26.02. G&amp;T disagrees with comments on 26.02. RPN cost AGREED on 28.02. G&amp;T sent final cost files to SHP on 28.02. SHP to issue. Sent on signature on 11.03.
SHP/Dean Snet TIA email to RPN/Simone on 06.03. RPN responded on 10.03.</v>
          </cell>
        </row>
        <row r="497">
          <cell r="A497" t="str">
            <v>R-VAR-0485</v>
          </cell>
          <cell r="C497" t="str">
            <v>NIBT Undefined Prov Sum</v>
          </cell>
          <cell r="U497">
            <v>5</v>
          </cell>
          <cell r="AJ497" t="str">
            <v>Marina sent draft to Alex on 26.04. G&amp;T costed on 03.05. Sent on signature on 09.05.
RPN issued Step 2.
G&amp;T assessed on 07.06. RPN to repovide backup. SHP to issue Step 4. Sent on signature on 18.06 - on hold by Alex since 17.07. RPN to provide details from EggTelsa.</v>
          </cell>
        </row>
        <row r="498">
          <cell r="A498" t="str">
            <v>R-VAR-0486</v>
          </cell>
          <cell r="C498" t="str">
            <v>VT - BUILDING AB - PLATFORM LIFT SALLE XIV</v>
          </cell>
          <cell r="U498" t="str">
            <v/>
          </cell>
          <cell r="AJ498" t="str">
            <v>cancelled</v>
          </cell>
        </row>
        <row r="499">
          <cell r="A499" t="str">
            <v>R-VAR-0487</v>
          </cell>
          <cell r="C499" t="str">
            <v>BLDG AB - L03 FMS TOILET RENOVATION</v>
          </cell>
          <cell r="U499">
            <v>2</v>
          </cell>
          <cell r="AJ499" t="str">
            <v>SOMBP sent Step 1 to G&amp;T on 17.05. SOMBP sent drawings to G&amp;T on 10.06. G&amp;T to cost - first SOMBP replied to Clare email from 13.06 on 17.06. SOMBP replied to Clare email from 21.06 on 21.06. G&amp;T costed on 03.07. SOMBP uploaded on 04.07. SHP to issue. Sent on signature on 12.07.
RPN didn't issue Step 2.
SHP issued Step 3. AHU for toilets is related to issue with AHU installation on the roof and BC coordination with UN and Bldg B. RPN  issued commercial proposal on 05.11. G&amp;T assessed on 12.11. RPN responded on 12.11. G&amp;T replied on 20.11 adn 11.12. RPN responded on 13.12. Alex/SHP confirmed position on 13.12. RPN cost AGREED on 17.12. G&amp;T sent final cost file to SHP on 17.12. SHP to issue. Sent on signature on 20.12.</v>
          </cell>
        </row>
        <row r="500">
          <cell r="A500" t="str">
            <v>R-VAR-0488</v>
          </cell>
          <cell r="C500" t="str">
            <v>BLDG D TO S2 - VOLT DROP &amp; TRENCH</v>
          </cell>
          <cell r="U500">
            <v>2</v>
          </cell>
          <cell r="AJ500" t="str">
            <v>SOMBP shared spil scope with VAR 007 with G&amp;T on 03.05. Rosana oked on 10.05. G&amp;T costed on 22.05. SOMBP uploaded on 03.06. SHP to issue. Sent on signature on 10.06 - on hold. SOMBP to check cost with G&amp;T - where are the cables for Voltage Drop -&gt; SOMBP revised Step 1 on 08.07. G&amp;T revised the cost accordingly on 17.07. SOMBP uploaded to pMWeb Step 1 rev 1 on 08.08. SHP to issue. Sent on signature on 12.08.
RPN didn't issue Step 2.
SHP issued Step 3.
DWG sent from SOMBP to RPN on 24.09. Survey recieved from RPN on 31.10. Scope should be revised - RPN to issue RFI. RFI 1335 agreed on 04.03. SOMBP to advise if scope revision will come - Bob nofirmed that NO CHANGES or additional cables have been added or altered from what is currently contained in the variation.
G&amp;T revised cost on 08.04. RPN to issue com proposal - still not recieved. G&amp;T sent cost DETERMINATION on 15.10. SHP issued determination. 23.10 Path of the trench have been modified (see RFI 1335) Determination makes no sense. 
04.11. G&amp;T to check if RFI 1335 is included into the cost - not per email from Alistair on 11.11. SHP to issue Step 4 rev - first recieved confirmation from SOMBP if VAR 605 to be cancelled and scope to be included in this var.
NOD recieved. Com poposal recieved from RPN on 05.12. SOMBP confirmed new scope based on RFI 1335B. G&amp;T has cost questions to RPN - sent to RPN on 13.01. G&amp;T sent revised cost on 28.01. RPN replied on 16.02. G&amp;T replied on 03.03. G&amp;T to check Orllati proces. RPN to respond.</v>
          </cell>
        </row>
        <row r="501">
          <cell r="A501" t="str">
            <v>R-VAR-0489</v>
          </cell>
          <cell r="C501" t="str">
            <v>BLDG S1 - UPS ROOMS VENTILATION</v>
          </cell>
          <cell r="U501">
            <v>4</v>
          </cell>
          <cell r="AJ501" t="str">
            <v>SOMBP sent Step 1 to G&amp;T on 22.05. G&amp;T to costed 12.06. SOMBP uploaded on 18.06. SHP to issue. Sent on signature on 21.06.
RPN didn't issue Step 2.
SHP issued Step 3. RPN issued commercial poposal on 23.08. G&amp;T determined on 25.10. SHP to issue.</v>
          </cell>
        </row>
        <row r="502">
          <cell r="A502" t="str">
            <v>R-VAR-0490</v>
          </cell>
          <cell r="C502" t="str">
            <v>DIGITAL SIGNAGE</v>
          </cell>
          <cell r="U502">
            <v>3</v>
          </cell>
          <cell r="AJ502" t="str">
            <v>SOMBP sent Step 1 to G&amp;T on 17.06. G&amp;T costed on 08.07. SOMBP providede cost comments on 08.07. Patrick V drafted SHP part of Step 1 on 16.07. SOMBP merged with VAR 490 on 19.07. G&amp;T to revise the cost. First SHP/SOMBP to provide comments per Clares email from 24.07 and Federica email from 24.07 - meeting on 05.08. Patrick V provided Step 1 text edits on 06.08. G&amp;T costed on 08.09. SOMBP added screens posisions on 14.08. Patrick V responded David's email from 13.08 on 15.08. SOMBP updated Annex on 15.08, G&amp;T updated cost on 22.08. Patrick V oked on 22.08. G&amp;T revised cost per SOMBP comments on 23.08. SOMBP uploaded package on 29.08. Max to check with FMS to lower the signage and to install the 2 screens where they were forseen Bldg A L05. 
RPN/3P to provide cost proposal.
SHP to issue Step 1. Sent on signature on 05.09.
RPN didn't issue Step 2.
SHP issued Step 3. RPN issued commercial proposal on 01.11. SOMBP/SHP to comment the scope per marina's email from 04.11 - done on 12.11. G&amp;T assesseded on 15.11. RPN responded on 22.11. G&amp;T replied on 22.11. G&amp;T cost AGREED on 22.11. G&amp;T sent cost files to SHP on 22.11. SHP to issue. Sent on signature on 26.11.
SHP/JM provided final location for COncordia on 27.05. G&amp;T conformed cost revision on 28.05. SOMBP revised Annex 1 on 02.06 and 03.06. SOMBP uploaded Step 3 rev 1 text on 06.06. SHP to issue (JM and PV to check). Sent on signature on 11.06.
RPN to update cost based on Step 3 rev 1 scope. RPN to issue revised com proposal. SHP/MAX/PAV to provide new location for screens in Concordia - new screens defined on 02.09.2025 as sent by RPN/FEB, SHP to confirm this change - cleared. NUC should be coordinated with ICTS/RPN. RPN sent MAS for 32:9 screen for Concordia to PAV. On 14.01.2026 MAS not approved, issues witj software. SHP to revise var for 2 monitors in Bldg C.</v>
          </cell>
        </row>
        <row r="503">
          <cell r="A503" t="str">
            <v>R-VAR-0491</v>
          </cell>
          <cell r="C503" t="str">
            <v>Replacement of the motor for VAR 411</v>
          </cell>
          <cell r="U503" t="str">
            <v>TOP</v>
          </cell>
          <cell r="AJ503" t="str">
            <v>SHP sent Step 1 to G&amp;T on 09.05. G&amp;T costed on 21.05. SHP to issue. Sent for signature on 22.05.
RPN issued Step 2.
SHP issued Step 3. RPN sent MAS for motor on 19.06. RPN issued commercial proposal on 24.06. SHP trejected fan MAS on 24.06. RPN/PXT revised motor MAS on 27.07. SHP approved MAS on 05.08. Cost doesn't need revision, G&amp;T assessed cost from 24.06 on 15.08. RPN responded on 28.08. SHP clarified the scope per Elliot email from 28.08 on 28.08. G&amp;T responded to RPN on 10.09. RPN replied on 12.09 and revised cost on 12.09. G&amp;T responded on 24.09. RPN replied on 27.09. G&amp;T cost AGREED on 01.10. TIA agreed on 03.10. SHP to issue. Sent on signature on 07.10.</v>
          </cell>
        </row>
        <row r="504">
          <cell r="A504" t="str">
            <v>R-VAR-0492</v>
          </cell>
          <cell r="C504" t="str">
            <v>CAFETERIA CHANGES</v>
          </cell>
          <cell r="U504">
            <v>4</v>
          </cell>
          <cell r="AJ504" t="str">
            <v>SOMBP finalised PMI drawings on 14.06, revise on 19.07. SOMBP shared VAR text with SHP/RPN/G&amp;T on 26.06. G&amp;T costed on 31.07. SOMBP provided comments on 21.08 for Elliot email from 31.07. G&amp;T revised the cost on 09.09. SOMBP/SHP/G&amp;T to review the cost - meeting on 19.09 done. G&amp;T to make minor cost review - done on 03.10. SOMBP to finalise drawings and upload.
SHP to issue Step 1. Sent on siganture on 07.10.
RPN didn't issue Step 2.
SHP issued Step 3. 
Revised drwings recieved feon SOMBP on 07.03. Drawigns oked by SHP on 13.03. SHP issued Step 3 rev 1.
RPn rised issue on 17.03 on Annex 1 and drawings discrepancise. SOMBP/Liliana responded on 20.03. 
 RPN to issue commercial proposal. SOMBP to revise per PMI 101. DOW : PMI101 is a feasibility study and cannot serve as a basis for a VAR. SHP to decide if reduced scope needs to be implemented into TD and to instruct SOM/B+P.</v>
          </cell>
        </row>
        <row r="505">
          <cell r="A505" t="str">
            <v>R-VAR-0493</v>
          </cell>
          <cell r="C505" t="str">
            <v>BLDG C - UNTV DOORS</v>
          </cell>
          <cell r="U505" t="str">
            <v>TOP</v>
          </cell>
          <cell r="AJ505" t="str">
            <v xml:space="preserve">SOMBP sent Step 1 to G&amp;T on 24.05. SOMBP provided full description of Hardware Sets 6.9, 7.J and 7.M per email from 12.06 - replied by Jaime on 12.06. G&amp;T costed on 19.06. SOMBP sent comments to G&amp;T on 19.06. G&amp;T revised cost on 20.06. SOMBP uploaded on 20.06. SHP to issue. G&amp;T to review internal vs external cost. Sent on signature on 21.06.
RPN didn't issue Step 2.
SHP issued Step 3. Vegano checked accoustic requirements for doors (same as in Bldg AB) - RPN to submit new MAS - visit manufacturer before 05.10.
G&amp;T sent determination files on 26.09. SHP to issue Step 4 - stopped. RPN issued commercial proposal on 27.09. SOMBP checked the scope per enail from Marina on 27.09 on 30.09. G&amp;T assessed cost on 07.10. RPN responded on 09.10. G&amp;T to reply. </v>
          </cell>
        </row>
        <row r="506">
          <cell r="A506" t="str">
            <v>R-VAR-0494</v>
          </cell>
          <cell r="C506" t="str">
            <v>BLDG C - UNTV BLINDS</v>
          </cell>
          <cell r="U506" t="str">
            <v>TOP</v>
          </cell>
          <cell r="AJ506" t="str">
            <v>SOMBP sent Step 1 to G&amp;T on 07.06. G&amp;T costed on 20.06. SOMBP commented scope on 21.06. G&amp;T recosted on 02.07. SOMBP commented scope on 02.07. G&amp;T recosted on 08.09. SOMBP uploaded on 09.07. SHP to issue. Sent on signature on 12.07.
RPN didn't issue Step 2.
SHP issued Step 3. RPN issued commercial proposal on 20.08. SOMBP responded on the ARCH scope per Marina's email from 21.08 on 23.08, and - MEP on 27.08. G&amp;T assessed on 29.08. RPN responded on 18.09. G&amp;T to determine per meeting on 19.09. G&amp;T responded to RPN on 19.09. RPN cost AGREED on 19.09. G&amp;T sent final cost file to SHP on 20.09. SHP to issue. Sent on signature on 24.09.</v>
          </cell>
        </row>
        <row r="507">
          <cell r="A507" t="str">
            <v>R-VAR-0495</v>
          </cell>
          <cell r="C507" t="str">
            <v>Temperature homogenization in Building H</v>
          </cell>
          <cell r="U507">
            <v>4</v>
          </cell>
          <cell r="AJ507" t="str">
            <v>SHP sent Step 1 to G&amp;T on 04.06. G&amp;T costed on 09.07. SHP to issue. Sent on signature on 16.07.
RPN issued Step 2. 
SOMBP provided TD to SHP for approval and revised Step 1 of VAR 495 on 25.04. SHP/Youssef oked design on 28.04. SOMBP commented cost on 29.05. G&amp;T recosted on 23.06. SHP/YOM commented cost on 24.06. SOMBP provided comments on 10.07. G&amp;T recosted on 22.07. SOMBP uploaded on 08.08. SHP to issue Step 3. Sent on signature on 15.08.
RPN to issue rev com proposl. On hold on RPN side till summer 2026 pending new electrical subcontractor
SHP to add to Step 4 BIM models refernce.</v>
          </cell>
        </row>
        <row r="508">
          <cell r="A508" t="str">
            <v>R-VAR-0496</v>
          </cell>
          <cell r="C508" t="str">
            <v>BLDG B BASEMENT AND OXYREDUCT AREA ARCH / FLS / MEP CHANGES</v>
          </cell>
          <cell r="U508">
            <v>4</v>
          </cell>
          <cell r="AJ508" t="str">
            <v>SOMBP shared Step 1 (PMI 83) on 19.11. SOMBP updated drawings on 19.12 (SebSet 460 oked by SHP/JEF on 20.12). G&amp;T costed on 17.01. SOMBP sent cost questions to G&amp;T on 20.01. G&amp;T responded on 21.01. SOMBP sent cost comments on 03.02. G&amp;T responded on 04.02. G&amp;T revised cost on 21.02. SOMBP oked cost on 21.02.  G&amp;T sent final cost files on 21.02. SOMBP uploaded on 24.02. SOMBP to propose mark ups with greyout area which will be impacted by Oxyreduct descope - will be done in INS 440. SHP to issue. Sent on signature on 14.03.
RPN didn't issue Step 2.
SHP issued Step 3. per Patrick's email from 25.04. - 10 drawings are missing, SOMBP to check - SOMBP sent revised Annex 1. SHP to issue Step 3 rev 1.
RPN to issue com proposal. RPN to progress on design.</v>
          </cell>
        </row>
        <row r="509">
          <cell r="A509" t="str">
            <v>R-VAR-0497</v>
          </cell>
          <cell r="C509" t="str">
            <v>Overview Metering System Phase 2</v>
          </cell>
          <cell r="U509">
            <v>4</v>
          </cell>
          <cell r="AJ509" t="str">
            <v>SHP sent Step 1 to G&amp;T on 06.06. Scope adjustment from Cedric done on 11.06. G&amp;T costed on 18.06. SHP to issue. Sent on signature on 21.06.
RPN didn't issue Step 2.
SHP issued Step 3. RPN issued commercial proposal on 14.01.2025. G&amp;T requested additional info on 15.01. Saber oked cost on 22.01. RPN provided info on 06.02. G&amp;T replied on RPN on 19.02. RPN responded on 25.02. SHP/Saber replied to Clare's email from 19.02 on 27.02. SHP defineed list of required options (scope) - 3 options by Saber on 19.03. G&amp;T to assess - first SHP to provide details per Clare's email from 24.03 - done on 02.04. G&amp;T sent one more clarification on 22.04. SHP to respond - meeting on 30.04. G&amp;T sent on 30.04. RPN responded on 13.05 and 10.06. G&amp;T cost AGREED on 13.06. SHP to issue. Sent on signature on 18.06.</v>
          </cell>
        </row>
        <row r="510">
          <cell r="A510" t="str">
            <v>R-VAR-0498</v>
          </cell>
          <cell r="C510" t="str">
            <v>Clash resolution Prov Sum</v>
          </cell>
          <cell r="U510">
            <v>5</v>
          </cell>
          <cell r="AJ510" t="str">
            <v>G&amp;T prepared cost file on 03.07. SHP to issue. Sent on signature on 05.07.
RPN didn't issue Step 2.
SHP issued Step 3. RPN to issue commercial proposal.</v>
          </cell>
        </row>
        <row r="511">
          <cell r="A511" t="str">
            <v>R-VAR-0499</v>
          </cell>
          <cell r="C511" t="str">
            <v>Installation of Pressure Regulating Valves</v>
          </cell>
          <cell r="U511">
            <v>3</v>
          </cell>
          <cell r="AJ511" t="str">
            <v>Youssef drafted Step 1 on 13.06. Youssef provided additional info on 18.06. Sent to G&amp;T on 19.06. G&amp;T costed on 02.07. SHP sent comments on 03.07. G&amp;T recosted on 03.07. SHP to issue. Sent on signature on 05.07.
RPN issued Step 2 on 15.07. 
Marina and Youssef drafted Step 3 respond on 16.07. SHP issued Step 3. RPN issued commercial proposal on 26.09. Youssef oked sope of RPN proposal on 31.10. G&amp;T assessed on 01.11. RPN responded on 01.11. G&amp;T replied on 05.11. Cost AGREED on 05.11. SHP to issue. Sent on signature on 14.11.</v>
          </cell>
        </row>
        <row r="512">
          <cell r="A512" t="str">
            <v>R-VAR-0500</v>
          </cell>
          <cell r="C512" t="str">
            <v>Modification of the AHU in TR A.943/957, Level 9 in Bldg. A</v>
          </cell>
          <cell r="U512">
            <v>2</v>
          </cell>
          <cell r="AJ512" t="str">
            <v>Youssef drafted Step 1 on 14.06. SHP sent Step 1 to G&amp;T on 18.06. G&amp;T to cost. First SHP replied to Clare's email from 02.07 on 03.07. G&amp;T costed on 03.07. G&amp;T revised cost file per Alex email from 04.07 on 08.07. SHP to issue. Sent on signature on 05.07.
RPN didn't issue Step 2.
SHP issued Step 3. RPN issued commercial proposal on 21.02. SHP to check scope per Marina's email from 22.02 - done by Youssef on 24.02. G&amp;T assessed on 18.03. RPN responded on 24.03. G&amp;T replied on 25.03. RPN responded on 15.04. G&amp;T replied on 28.04. RPN reponded on 16.05 and 20.05. G&amp;T replied on 20.05. RPN responded on 06.06. G&amp;T replied on 17.06. RPN replied on 24.06.  First Youssef commented the scope per G&amp;T/Elliot email from 25.06 on 30.06. G&amp;T responded on 09.07. RPN replied on 29.07. G&amp;T responded on 12.08. RPN replied on 03.09. G&amp;T cost AGREED on 08.09. G&amp;T sent cost files on 08.09. G&amp;T to revise cost per Alex email on 09.09 - pending agreement to post substantial completion prelims. RPN sent updated cost on 28.11. G&amp;T replied on 02.01.2026. RPN AGREED on 05.01. G&amp;T sent final cost file on 05.01 to SHP. SHP to issue. G&amp;T made small correction in excel on 06.01. Sent on signature on 09.01.</v>
          </cell>
        </row>
        <row r="513">
          <cell r="A513" t="str">
            <v>R-VAR-0501</v>
          </cell>
          <cell r="C513" t="str">
            <v xml:space="preserve">Bldg S1 door CH-S3-B26-C35-2 hardware set amd </v>
          </cell>
          <cell r="U513">
            <v>3</v>
          </cell>
          <cell r="AJ513" t="str">
            <v>Step 1 draft sent to G&amp;T on 19.12. G&amp;T costed on 12.03. SHP to issue. Sent on signature on 14.03. SOMBP commented cost on 16.03. G&amp;T responded. SOMBP to advise if we issue var or revise - done on 07.05. G&amp;T sent adjusted cost files on 08.05. SHP to issue. Sent on signature on 08.05.
RPN didn't issue Step 2.
SHP issued Step 3. RPN issued com rpoposal on 24.09. G&amp;T assessed on 24.09. RPN replied on 11.02. G&amp;T to reply.</v>
          </cell>
        </row>
        <row r="514">
          <cell r="A514" t="str">
            <v>R-VAR-0502</v>
          </cell>
          <cell r="C514" t="str">
            <v>Patching changes</v>
          </cell>
          <cell r="U514">
            <v>1</v>
          </cell>
          <cell r="AJ514" t="str">
            <v>marina drafted Step 1 on 28.06. Dragos checked on 28.06. Sent to G&amp;T on 28.06. G&amp;T costed on 03.07. SHP commented on 04.07. G&amp;T to adjust the cost. SHP to issue. Sent on signature on 05.07.
RPN didn't issue Step 2.
2m cables confirmed by Neil/Patrick F on 17.07 to mitigate time impact on SC.
SHP issued Step 3. Per 17.09. meeting RPN to put a prov. sum for S2 and B, other sections are ready for commercial proposal.  RPN issued commercial proposal on 01.10. RPN agrred variation with Egg - not critical. SHP/Dragos provided scope comments on 03.10 and 18.10. Procurement is ongoing (05/11). RPN/Egg provided information to Clare on 13.11. Dragos sent comment per Clare email from 07.11 to Patrick F. Patrick F confirmed it to Clare on 19.11. Cost DETERMINED on 26.11 for A, AB, C and S1. G&amp;T sent final cost files to SHP on 27.11. SHP to issue. Sent on signature on 09.12.
G&amp;T sent revised cost on 19.02. SHP to issue.</v>
          </cell>
        </row>
        <row r="515">
          <cell r="A515" t="str">
            <v>R-VAR-0503</v>
          </cell>
          <cell r="C515" t="str">
            <v>Room C6 new layout</v>
          </cell>
          <cell r="U515">
            <v>4</v>
          </cell>
          <cell r="AJ515" t="str">
            <v>SHP Patrick V drafted Step 1 on 18.06. Sent to G&amp;T for costing on 21.06. G&amp;T to cost, Max to add 1 para. First Patrick V replied to Elliot email from 28.06 on 03.07. G&amp;T issued cost on 11.07. SHP to issue. First G&amp;T revised cost per SHP comments from 12.07 on 15.07. Sent on signature on 16.07.
RPN didn't issue Step 2 - use G&amp;T cost + add %
SHP issued Step 3. RPN issued comrrecial proposal on 23.08. First SOMBP to comment scope per Marina's email from 23.08 - done. G&amp;T assessed on 29.08. RPN has requested clarifications about MH scope of VAR503 that could impact the cost on 29.08 WTM. Youssef revised Scope on 04.09. SHP to issue Step 3 rev 1. RPN revised commercial proposal on 01.10. G&amp;T assessed on 02.10. RPN cost AGREED on 08.10. G&amp;T sent to SHP final cost file on 09.10.
TIA recieved on 27.08. SHP responded on 27.08 - not enought information to assess EoT. Meeting on 29.08. RPN to resubmit TIA - will be settled as part of the claim.
SHP to issue Step 4.
RPN found lost hatches item in cost file on 05.11. RPN sent an email to Clare with details on 29.11. G&amp;T responded on 03.12. Cost agreed on 23.01. G&amp;T sent cost file on 23.01. SHP to issue. Sent on signature on 27.01.
SHP/JM sent updated scope on 29.09.2025. Not issued - to issue drawings with Transmittal as no cost impact expected.
on 12.11.2025 RPN sent AV revision. G&amp;T assessed on 25.11 - The revised 3P cost is a saving of 1,234 CHF with RPN proposing an additional 3,000CHF of costs for engineering and management which is a lot of additional time for a 3P lead change on a CDP package. G&amp;T commented on 25.11. SHP/PAV commented on 27.01.2026. G&amp;T replied to RPN on 29.01. RPN replied on 04.03. G&amp;T to reply.</v>
          </cell>
        </row>
        <row r="516">
          <cell r="A516" t="str">
            <v>R-VAR-0504</v>
          </cell>
          <cell r="C516" t="str">
            <v>Access control IT room LB1 S1</v>
          </cell>
          <cell r="U516" t="str">
            <v/>
          </cell>
          <cell r="AJ516" t="str">
            <v>Benoit drafted Step 1 on 24.07. TO be replaced with DayWork RFI.</v>
          </cell>
        </row>
        <row r="517">
          <cell r="A517" t="str">
            <v>R-VAR-0505</v>
          </cell>
          <cell r="C517" t="str">
            <v>BDLG AB ADDITIONAL FIRE DETECTION DEVICES (CDP)</v>
          </cell>
          <cell r="U517">
            <v>4</v>
          </cell>
          <cell r="AJ517" t="str">
            <v>SOMBP drafted Step 1 on 03.07. Sam confirmed scope on 10.07. G&amp;T costed on 11.07. RPN to issue revision B of RFI 1258 on additional fire detection devices as it may change var scope - not done. SOMBP uploaded var on 11.07. SHP to issue. Sent on signature on 16.07.
RPN didn't issue Step 2. EggTelsa to start drawings.
SOMBP added firedetection approximately without waiting for thermal load from RPN as RFI 1258 revision  done on 26.07 -&gt; SHP added scope revision in Step 3.
RPN issued commercial proposal on 28.08. G&amp;T assessed on 10.09. Meeting on 24.09 with Patrick F and Tommasso. RPN revised cost on 24.09. G&amp;T revised on 25.09. RPN cost AGREED on 25.09. G&amp;T sent final cost files agreed to SHP on 26.09. SHP to issue. Sent on signature on 30.09.
G&amp;T sent corrected cost (RPN found formula error) on 03.10. SHP to issue Step 4 rev 1. Sent on signature on 09.10.
RPN sent revised quantities on 08.10. SOMBP commented on 10.10. G&amp;T requested marked up drawings on 13.10. RPN to respond.</v>
          </cell>
        </row>
        <row r="518">
          <cell r="A518" t="str">
            <v>R-VAR-0506</v>
          </cell>
          <cell r="C518" t="str">
            <v>BDLG C ADDITIONAL FIRE DETECTION DEVICES (CDP)</v>
          </cell>
          <cell r="U518">
            <v>2</v>
          </cell>
          <cell r="AJ518" t="str">
            <v>SOMBP drafted Step 1 on 12.07. G&amp;T costed on 29.07. SOMBP uploaded on 13.08. SHP to issue. First G&amp;T checked cost omission per Marina's email from 14.08 on 15.08. Sent on signature on 19.08.
RPN didn't issue Step 2.
SHP issued Step 3. RPN issued commercial proposal on 03.10. G&amp;T reponded on 24.10. RPN responded on 28.10. G&amp;T responded on 28.10. Cost AGREED on 29.10. SHP to issue. Sent on sianature on 31.10.</v>
          </cell>
        </row>
        <row r="519">
          <cell r="A519" t="str">
            <v>R-VAR-0507</v>
          </cell>
          <cell r="C519" t="str">
            <v>UNTV UPS ROOM VENTILATION</v>
          </cell>
          <cell r="U519">
            <v>4</v>
          </cell>
          <cell r="AJ519" t="str">
            <v>SOMBP sent draft Step 1 on 05.07. G&amp;T costed on 22.07. SOMBP to check swiss regs before cost approval per SOMBP email from 26.07. SOMBP uploaded on 16.08. SHP to issue. Sent on signature on 21.08.
RPN didn't issue Step 2.
SHP issued Step 3. RPN issued commercial proposal on 26.09. G&amp;T assessed on 05.11. RPN responded on 20.11. G&amp;T responded on 26.11. RPn replied on 27.11. G&amp;T responded on 29.11. RPN cost AGREED on 02.12. SOMBP confirmed 1nr addiitonal grille per Clare email from 26.11 on 03.12. G&amp;T sent final cost files to SHP on 03.12. SHP to issue. G&amp;T to reply to Alex email from 05.12 about mobile tower. Sent on signature on 05.12.</v>
          </cell>
        </row>
        <row r="520">
          <cell r="A520" t="str">
            <v>R-VAR-0508</v>
          </cell>
          <cell r="C520" t="str">
            <v>Upgrading The Hot Water Tank</v>
          </cell>
          <cell r="U520">
            <v>5</v>
          </cell>
          <cell r="AJ520" t="str">
            <v>SHP drafted Step 1 on 05.07. Youssef commented to G&amp;T on 19.07. G&amp;T costed on 19.07. Youssef confirmed the circulation pumps replacement per Clare's email from 25.07 on 13.08. Clare asked questions on 21.08 - Youssef confirmed on 21.08. G&amp;T recosted on 12.09. SHP to issue. Sent on signature on 16.09.
RPN issued Step 2. Cost only for design.
SHP/Youssef responded on 01.11. G&amp;T assessed the cost on 04.11. SHP issued Step 3. RPN to revise commercaial proposal.
SHP to check the scope - discussion with FMS since 08.11, var oh hold awaiting FMS. 15.01. - SHP to withdraw VAR&gt;</v>
          </cell>
        </row>
        <row r="521">
          <cell r="A521" t="str">
            <v>R-VAR-0509</v>
          </cell>
          <cell r="C521" t="str">
            <v>ROOF SLAB REINFORCEMENTS</v>
          </cell>
          <cell r="U521">
            <v>3</v>
          </cell>
          <cell r="AJ521" t="str">
            <v>SOMBP sent draft Step 1 on 12.07. G&amp;T costed on 18.07. SOMBP uploaded on 19.07. SHP to issue. Sent on signature on 23.07.
RPN didn't issue Step 2.
SHP issued Step 3. RPN issued commercial proposal on 14.10. G&amp;T assessed on 24.10. RPN responded on 28.10. G&amp;T responded on 29.10. SOMBP commented scope on 04.11. Cost AGREED on 29.10. G&amp;T sent cost files to SHP on 08.11. SHP to issue. Sent on signature on 13.11. G&amp;T replied to Alex email from 13.11.</v>
          </cell>
        </row>
        <row r="522">
          <cell r="A522" t="str">
            <v>R-VAR-0510</v>
          </cell>
          <cell r="C522" t="str">
            <v>MASTERKEY STRATEGY</v>
          </cell>
          <cell r="U522">
            <v>4</v>
          </cell>
          <cell r="AJ522" t="str">
            <v>Marina drafted Step 1 on 25.07.2024. Max to provide 2 annexes. First RPN to submit final door schedule - done in Dec 2025. Info from RPN recieved on 13.02. Max oked on 16.02. SHP to issue Step 1.</v>
          </cell>
        </row>
        <row r="523">
          <cell r="A523" t="str">
            <v>R-VAR-0511</v>
          </cell>
          <cell r="C523" t="str">
            <v>Descope of Supervision and replacement of speakers</v>
          </cell>
          <cell r="U523">
            <v>3</v>
          </cell>
          <cell r="AJ523" t="str">
            <v>Patrick V drafted Step 1 on 16.07. SHP to clarify the scope to G&amp;T per Clare's email from 29.07 - not done. G&amp;T costed on 02.08. G&amp;T reviewed the cost per Patrick V cost sent from 06.08 on 16.08. SHP to issue. Sent on signature on 21.08.
RPN AGREED in Step 2.
SHP to issue Step 3&amp;4. Firts RPN provided to G&amp;T substanciation on 15.11. G&amp;T oked cost on 19.11. G&amp;T sent final cost files to SHP on 19.11. SHP to issue. Sent on signature on 19.11.</v>
          </cell>
        </row>
        <row r="524">
          <cell r="A524" t="str">
            <v>R-VAR-0512</v>
          </cell>
          <cell r="C524" t="str">
            <v>Bldg C stair 5 corridors changes</v>
          </cell>
          <cell r="U524">
            <v>2</v>
          </cell>
          <cell r="AJ524" t="str">
            <v>SOMBP sent Step 1 to G&amp;T on 24.07. G&amp;T costed on 02.08 with comments. SOMBP responded to Calum's questions on 05.08. G&amp;T reviewed the cost on 15.08. SOMBP commented cost on 15.08. G&amp;T responded on 16.08. SOMBP uploaded on 16.08. SHP to issue. Sent on signature on 21.08.
RPN didn't issue Step 2.
SHP issued Step 3. RPN issued commercial proposal on 29.08. G&amp;T assessed on 06.09. RPN responded on 09.09. G&amp;T responded on 09.09 - cost has been unreasonably increased. RPN responded on 10.09. G&amp;T reviewed on 20.09. Cost AGREED on 28.20. SHP to issue Step 4.</v>
          </cell>
        </row>
        <row r="525">
          <cell r="A525" t="str">
            <v>R-VAR-0513</v>
          </cell>
          <cell r="C525" t="str">
            <v>ASSEMBLY HALL AND SALLE XVI ELEC CABLING ON CONFERENCE TABLES</v>
          </cell>
          <cell r="U525">
            <v>3</v>
          </cell>
          <cell r="AJ525" t="str">
            <v>SPMBP drafted Step 1 on 09.08. G&amp;T commented on 19.08 - number of sockets doesn't match - SOMBP corrected Step 1 text on 19.08. Cedric E responded to Clare on 26.08. RPN to send Request for Variation #106 target date - 26.07.24, recieved on 26.08. SOMBP assessed RFV on 03.09 - no change to Step 1. G&amp;T replied to Dominic email from 29.08 on 02.09. Patrick F confirmed scope and to use the shared risk pot for this on 10.09 to g&amp;T and SOMBP. SOMBP revised Step 1 on 23.09. G&amp;T costed on 26.09. SOMBP uploaded on 02.10. SHP to issue. Sent on signature on 08.10.
RPN issued Step 2.
SHP issued Step 3. Meeting held on 29.10. Rates should be clarified by RPN. G&amp;T assessed on 04.11. RPN responded on 11.11. G&amp;T sent a reply to RPN on 20.11. Clare sent Salle 16 explanation to SHP on 20.11, SOMBP added details on 20.11. - Patrick F made a cost split decision on 22.11. G&amp;T sent cost to RPN on 22.11. RPN cost AGREED on 22.11. G&amp;T sent cost files to SHP on 22.11. SHP to issue. Sent on signature on 27.11.
SHP/Benoit proposed to descope new sockets in tables of Salle 16 and related cabling. SHP Step 3 rev 1 to issue.
RPN to revise cost proposal.</v>
          </cell>
        </row>
        <row r="526">
          <cell r="A526" t="str">
            <v>R-VAR-0514</v>
          </cell>
          <cell r="C526" t="str">
            <v>BLDG C DISTRIBUTION BOARD E07</v>
          </cell>
          <cell r="U526">
            <v>1</v>
          </cell>
          <cell r="AJ526" t="str">
            <v>Max/Gregory to check on site other tech options to facilitate impact on 19.09. SOMBP issued step 1 on 20.09. G&amp;T made cost on 11.10 but sent to SHP, Elliot needs to resend it to SOMBP. SOMBP uploaded to PMWeb on 21.10 and reuploaded on 22.10. SHP to issue.
RPN didn't issue Step 2.
SHP issued Step 1 rev 1 and 3. RPN issued commercail proposal on 14.11. First SOMBP comment per Clare email from 15.11 on 15 and 18.11. G&amp;T assessed on 26.11. RPN provided cable lengths on 28.11. RPN responded on 09.12. G&amp;T replied on 17.12. RPN responded on 28.01. G&amp;T replied on 30.10. RPN responded on 30.01. Cost AGREED on 30.01. G&amp;T sent cost file to SHP on 30.01. SHP to issue. Sent on signature on 03.02.</v>
          </cell>
        </row>
        <row r="527">
          <cell r="A527" t="str">
            <v>R-VAR-0515</v>
          </cell>
          <cell r="C527" t="str">
            <v>BLDG C STAIR 6 LIGHTING</v>
          </cell>
          <cell r="U527">
            <v>3</v>
          </cell>
          <cell r="AJ527" t="str">
            <v>SOMBP issued step 1 on 20.09. G&amp;T costed on 11.10. SOMBP uploaded on 22.10.2024. SHP to issue.
RPN didn't issue Step 2.
SHP issued Step 1 rev 1 and Step 3. RPN issued commercial proposal on 10.12. G&amp;T assessed on 06.01.2025. RPN responded on 10.01. G&amp;T replied on 22.01. RPN responded on 10.02. G&amp;T cost AGREED on 18.02. SHP to issue. Sent on signature on 19.02.
27.08.2025 - scope change to be issued by SOMBP (lighting fixtures are no longer on the market). SOMBP sent on 03.09. SHP issued Step 3 rev 1.
RPN issued revised com proposal on 25.09. G&amp;T reviewed on 13.10. RPN responded on 15.10. G&amp;T replied on 17.10.  EggT checking lighting and may provide more details - target date 24.10. (impact on Prod). RPN revised cost on 30.10. G&amp;T cost AGREED on 03.11. SHP to issue. Sent on signature on 06.11.</v>
          </cell>
        </row>
        <row r="528">
          <cell r="A528" t="str">
            <v>R-VAR-0516</v>
          </cell>
          <cell r="C528" t="str">
            <v>Recovery of Energy Consumption 3</v>
          </cell>
          <cell r="U528">
            <v>5</v>
          </cell>
          <cell r="AJ528" t="str">
            <v>Marina drafted Step 1 on 03.09. RPN provided updated meter readings for the utilities on 06.09. G&amp;T costed on 26.09. SHP to issue. Sent on signature on 30.09.
RPN issue Step 2.
SHP issued Step 3.
Step4 determination. Sent on signature on 13.02.
SHP/Alex asked Step 4 rev 1 on 30.04 due to cost AGREEMENT. SHP to issue. Sent on signature.</v>
          </cell>
        </row>
        <row r="529">
          <cell r="A529" t="str">
            <v>R-VAR-0517</v>
          </cell>
          <cell r="C529" t="str">
            <v>ASPEN services for the DOA lean elements related to the SHO and transition projects</v>
          </cell>
          <cell r="U529">
            <v>5</v>
          </cell>
          <cell r="AJ529" t="str">
            <v>Marina drafted Step 1 on 03.09. Alex costed on 05.09. DOA requested revision on 17.09. ASPEN revised scope on 23.09. Cost revised on 22.10. SHP to issue. Sent on signature on 23.10 - on HOLD by Brahim - under discussion with DOA
RPN didn't issue Step 2.
SHP issued Step 3. RPN issued Com proposal on 21.01.2025. G&amp;T cost GAREED on 27.01. RPN resent additional bills from ASPEN on 14.05. SHP to issue - check amount with G&amp;T - ASPEN to provide invoices, done on 23.05. Sent on signature on 26.05.</v>
          </cell>
        </row>
        <row r="530">
          <cell r="A530" t="str">
            <v>R-VAR-0518</v>
          </cell>
          <cell r="C530" t="str">
            <v>Assembly Hall Lv 06 - 24 lights to replace</v>
          </cell>
          <cell r="U530" t="str">
            <v>TOP</v>
          </cell>
          <cell r="AJ530" t="str">
            <v>SHP to draft Step 1 based on information from 3P - RPN to provide tech info from 3P - target date for RPN on 09.09., shifted to 15.09 - done. RPN to upload to pmWeb + desing per Patrick V email from 23.09 - target date 21.10. Patrick V strted to draft Step 1 based on this on 11.10. Additional info recieved from RPN for VAR 453 on 05.11. Patrick V finalised Step 1 on 11.11. Benoit finalised on 12.11. Sent to G&amp;T on 12.11. G&amp;T to cost - target date 15.11, done on 22.11, revised on 27.11. per Patrick V comments from 25.11. SHP to issue Step 1. Sent on signature on 27.11.
RPN didn't issue Step 2.
SHP issued Step 3. RPN submitted TIA on 15.01 SHP analised TIA on 20.01. RPN revised TIA on 21.01. SHP review&amp;meeting of TIA with RPN on 23.01. RPN revised TIA on 23.01. SHP assessed new TIA on 27.01. RPN responded on 30.01. SHP reviewed on 03.02.
RPN issued com proposal on 24.01. SHP commented scope on 24.01. SHP/G&amp;T meeting on 30.01. G&amp;T sent assessed cost to RPN on 30.01. RPN sent clarifications to G&amp;T. G&amp;T sent question to SHP on 19.02 - SHP responded on 25.02. After that G&amp;T to issue Determination cost - target date 21.02 - done on 26.02. Per site walk on 05.03. cost file to be revised. G&amp;T sent revision on 13.03. RPN to respond + check elec cables - target date 25.03.2025 - RPN sent updated cost on 01.04. G&amp;T replied on 10.04. RPN proposed DETERMINATION on 14.04. G&amp;T sent final cost file to SHP on 22.05. SHP to issue - first G&amp;T to reply to Alex email from 24.04 - done on 28.04. Alex sent more questions on 28.04 - G&amp;T revised cost on 13.05. SHP to issue. Sent on signature on 16.05.</v>
          </cell>
        </row>
        <row r="531">
          <cell r="A531" t="str">
            <v>R-VAR-0519</v>
          </cell>
          <cell r="C531" t="str">
            <v>New cable for the data from the flow meter</v>
          </cell>
          <cell r="U531">
            <v>3</v>
          </cell>
          <cell r="AJ531" t="str">
            <v>SHP/Youssef drafted Step 1 on 04.09. Sent to G&amp;T on 05.09. CLare asked question and Youssef replied on same 26.09. G&amp;T costed on 09.10. SHP to issue. Sent on signature on 10.10.
RPN didn't issue Step 2.
SHP to issue Step 3. RPN is awaiting Step 4 not progressing on works (06.11). RPN issued commercial proposal on 23.01. Youssef provided his cost comments on 23.01. G&amp;T assessed on 30.01. RPN responded on 30.01. G&amp;T replied on 04.02. G&amp;T sent determination on 21.02. SHP to issue. Sent on signature on 06.03.</v>
          </cell>
        </row>
        <row r="532">
          <cell r="A532" t="str">
            <v>R-VAR-0520</v>
          </cell>
          <cell r="C532" t="str">
            <v>BLDGS AB-B DOMESTIC HOT WATER PUMPS</v>
          </cell>
          <cell r="U532">
            <v>3</v>
          </cell>
          <cell r="AJ532" t="str">
            <v>SOMBP sent Step 1 on costing on 19.09. G&amp;T costed on 09.10. SOMBP commented cost on 09.10. Clare revised cost on 09.10. SOMBP uploaded on 09.10. G&amp;T to confirm pump cost difference per Alex email from 10.10. G&amp;T provided explanation on 10.10. SHP to issue Step 1. Sent on signature on 10.10.
RPN didn't issue Step 2.
SHP issued Step 3. RPN issued com proposal on 24.01. G&amp;T to assess. SOMBP to advise on the scope per Marina's email from 27.01 - done on 03.02. Cost AGREED on 30.01. SOMBP/Cedric commented scope on 03.02.. SHP to issue. Sent on 07.02.</v>
          </cell>
        </row>
        <row r="533">
          <cell r="A533" t="str">
            <v>R-VAR-0521</v>
          </cell>
          <cell r="C533" t="str">
            <v>PA SPEAKERS BLDG C ATRIUM (CDP)</v>
          </cell>
          <cell r="U533">
            <v>1</v>
          </cell>
          <cell r="AJ533" t="str">
            <v>SOMBP sent Step 1 on costing on 23.09. SHP/RPN to discuss if all CDPs can go to dayWork RFIs - this variation is mainly about omission. G&amp;T costed on 10.10. SOMBP tuploaded on 22.10. SHP issued.
RPN didn't issue Step 2.
SHP issued Step 3. RPN issued commerical proposal - target date 22.11, issued on 11.12.2024. SOMBP commented RPN's com proposal on 13.12. G&amp;T reviewed cost on 03.01.2025. RPN responded on 20.01. G&amp;T replied on 28.01. RPN responded on 29.01. G&amp;T replied on 29.01 and revised cost assessment on 04.02 and 20.02. G&amp;T responded on 21.02. RPN cost AGREED on 24.02. G&amp;T sent to SHP on 25.02. SOMBP to check scaffolding need per Marina's email from 05.03 - responded on 05.03. G&amp;T to check Dominic's proposal from 06.03 - G&amp;T sent revised cost with cherry picker on 17.03. RPN responded on 17.03. G&amp;T cost AGREED on 18.03. SHP to issue - more questions to G&amp;T per email from 20.03. SHP/JM commented scope on 01.04.  SOMBP provided scope comment on 03.04.
SOMBP/Lucille revised scope with no fake/real marble repair on 10.04. SHP issued Step 3 rev 1. RPN revised cost on 28.04. G&amp;T cost AGREED on 29.04. SHP to issue. Sent on signature on 07.05.</v>
          </cell>
        </row>
        <row r="534">
          <cell r="A534" t="str">
            <v>R-VAR-0522</v>
          </cell>
          <cell r="C534" t="str">
            <v>Co-location</v>
          </cell>
          <cell r="U534">
            <v>5</v>
          </cell>
          <cell r="AJ534" t="str">
            <v>Patrick F drafted Step 1 on 13.09. Marina packed on 17.09. Alex sent to G&amp;T. G&amp;T costed on 03.10. SHP to issue. Sent on signature on 07.10.
RPN didn't issue Step 2.
SHP issued Step 3. RPN issued commercial proposal on 27.11. G&amp;T assessed on 09.12. RPN responded on 09.12 and updated on 20.01.2025. G&amp;T replied on 22.01 and on 27.01. RPN responded on 08.04. SHP/Alex to check cleaning cost with FMS - done on 18.03. RPN provided info on 14.04. G&amp;T cost AGREED on 15.04. G&amp;T sent cost file to SHP on 23.04. SHP to issue. Sent on signature on 25.04.
Per SHP email on 05.11. RPN/G&amp;T to extend the service till March 2025 - RPN sent updated cost on 25.11. G&amp;T replied on 27.11. RPN responded on 27.11. G&amp;T replied on 02.12 and reminded on 09.12. RPN cost AGREED on 10.12. G&amp;T sent final cost file to SHP on 10.12. SHP to issue. Sent for signature on 16.12.</v>
          </cell>
        </row>
        <row r="535">
          <cell r="A535" t="str">
            <v>R-VAR-0523</v>
          </cell>
          <cell r="C535" t="str">
            <v>Bldg. AB Evacuation system clarification (CDP)</v>
          </cell>
          <cell r="U535">
            <v>1</v>
          </cell>
          <cell r="AJ535" t="str">
            <v>SOMBP to issue Step 1 - first RPN to provide cire details for variation content in RFI revision B - SOMBP/RPN to have a workshop on 03.10. Arch on site walk is need to define location of speakers.
Step 1 draft sent to G&amp;T by SOMBP on 07.10. G&amp;T costing received on 29.10. SOMBP commented cost on 31.10. G&amp;T revised cost on 31.10. SOMBP uploaded Step 1 on 21.10. SHP to issue. Sent on signature on 01.11.
Design can be fixed with sketches to unblock construction.
RPN didn't issue Step 2 - target date was 22.11.
SHP issued Step 3 with missing Annex 1. RPN issued com proposal on 28.11. G&amp;T cost AGREED on 03.12. G&amp;T sent to SHP on 04.12. SHP to issue. Sent on signature on 09.12.</v>
          </cell>
        </row>
        <row r="536">
          <cell r="A536" t="str">
            <v>R-VAR-0524</v>
          </cell>
          <cell r="C536" t="str">
            <v>Glycol Concentration</v>
          </cell>
          <cell r="U536">
            <v>1</v>
          </cell>
          <cell r="AJ536" t="str">
            <v>Marina drafted Step 1 on 25.09. Sent to G&amp;T on 25.09. Youssef replied to Clare's email from 02.10 on 03.10. G&amp;T costed on 03.10 and 04.10. SHP to issue. Sent on signature on 08.10.
RPN issued Step 2.
SHP issued Step 3. G&amp;T assessed commercial proposal on 05.11. RPN responded on 05.11. Youssef replied to Elliot question on 12.11. RPN called a tech meeting with Youssef and Christian on 14.11. SHP provided info from FMS which type of glicole is acceptable - propeline on 20.11. RPN can not provide disposal cost - target date 28.11. SHP to pay for it. RPN agreed to close var with prov sum for disposal and revise Step 4 later.. RPN sent revised cost on 17.12.2024. G&amp;T cost AGREED on 17.12. G&amp;T issued final cost files on 18.12. SHP to issue. Sent on signature on 20.12.</v>
          </cell>
        </row>
        <row r="537">
          <cell r="A537" t="str">
            <v>R-VAR-0525</v>
          </cell>
          <cell r="C537" t="str">
            <v>ADDITIONAL REVOLVING DOORS A17, A18, C21</v>
          </cell>
          <cell r="U537">
            <v>2</v>
          </cell>
          <cell r="AJ537" t="str">
            <v>SOMBP sent Step 1 on 03.10 and revised on 18.10. SOMBP issued INS 420 with temp solution. SOMBP provided clarification with which works should be done BSC and which after SC on 28.10. G&amp;T costed on 08.11. G&amp;T sent cost questions to SOMBP on 07.11. SOMBP commented cost on 08.11. G&amp;T recosted on 08.11. SOMBP sent more comments on 08.11. G&amp;T asked question on 11.11 and SOMBP replied on 11.11. G&amp;T recosted on 12.11. Liliana/SOMBP analysed a wrong cost on 13.11. SOMBP uploaded on 14.11. SHP to issue. Sent on signature on 18.11.
RPN sent scope question about ceilling on 03.12.2024. SOMBP replied on 04.12. RPN/SOMBP discussion on ceiling in A.293 - A.297. RPN sent RFI draft to SOMBP/SHP on 06.12. SOMBP responded on 09.12.
RPN issued Step 2 with no cost on 06.12. No official RFI recieved from RPN.
SHP issued Step 3 - with revised scope per Jaime email from 10.12. First SOMBP to sent revised scope to SHP - tentative in Jan 2025, include INS 425 - done on 09.01.
SOMBP to check - with SBIS and the Fire Police if needed, the compliancy with the swiss regulations of the Circlelock product you have specified in VAR 525 for entrance A18 - Liliana responded on 30.01. SOMBP sent Step 3 rev 1 on 03.03. SHP to issue Step 3 rev 1.
RPN to revise com proposal - draft sent on 15.04. G&amp;T reviewed on 29.04 and 27.05. RPN responded on 01.07. G&amp;T responded 06/08. SOMBP sent scope revision on 08.08. SHP issued Step 3 rev 2. Meeting requested, mainly scope discrepancies. RPN recosted on 07.10. G&amp;T replied on 28.10. RPN responded on 15.01.2026. G&amp;T sent quesiton to jaime on 02.02. SOMBP replied on 04.02. G&amp;T sent revised cost to RPN on 02.02. SHP/BER replied to Clare's email from 05.02 on 06.02. G&amp;T asked for more clarifications on 06.02. SHP replied on 09.03. RPN replied to G&amp;T on 04.03. G&amp;T to reply.</v>
          </cell>
        </row>
        <row r="538">
          <cell r="A538" t="str">
            <v>R-VAR-0526</v>
          </cell>
          <cell r="C538" t="str">
            <v>Bldg. C Village power supply</v>
          </cell>
          <cell r="U538">
            <v>3</v>
          </cell>
          <cell r="AJ538" t="str">
            <v>SOMBP sent Step 1 to G&amp;T on 15.10. G&amp;T costed on 07.11. G&amp;T sent questions to SOMBP on 07.11.  SOMBP replied on 08.11. G&amp;T recosted on 11.11. SOMBP uploaded on 12.11. Cable lenght confirmed by Cedric E on 13.11.2024. SHP to issue. Sent on signature on 16.05.2025. DOA - communicate that SHP can shut down SSS Village Sept 2025. WIll be revised as disconnected in Sept 2025.</v>
          </cell>
        </row>
        <row r="539">
          <cell r="A539" t="str">
            <v>R-VAR-0527</v>
          </cell>
          <cell r="C539" t="str">
            <v>BLDG C - UNTV ROOM C.1-6 MODIFICATIONS</v>
          </cell>
          <cell r="U539" t="str">
            <v>TOP</v>
          </cell>
          <cell r="AJ539" t="str">
            <v>Step 1 sent by SOMBP to G&amp;T on 21.10. G&amp;T costed on 25.10. SOMBP uploaded to PMWeb on 25.10. SHP to issue Step 1.
RPN didn't issue Step 2.
SHP issued Step 3. RPN issued commenrcial proposal on 14.11. G&amp;T assessed on 25.11. RPN cost AGREED on 26.11. G&amp;T sent cost files to SHP on 27.11. SHP to issue. Sent on signature on 29.11.</v>
          </cell>
        </row>
        <row r="540">
          <cell r="A540" t="str">
            <v>R-VAR-0528</v>
          </cell>
          <cell r="C540" t="str">
            <v>CYLINDERS DOORS SALLE III AND V</v>
          </cell>
          <cell r="U540">
            <v>4</v>
          </cell>
          <cell r="AJ540" t="str">
            <v>SOMBP sent Step 1 to G&amp;T on 20.11. G&amp;T costed on 11.12. SOMBP uploaded on 06.01.2025. Cancelled - will be delt with TCI-1443</v>
          </cell>
        </row>
        <row r="541">
          <cell r="A541" t="str">
            <v>R-VAR-0529</v>
          </cell>
          <cell r="C541" t="str">
            <v>Braille in handrails</v>
          </cell>
          <cell r="U541">
            <v>4</v>
          </cell>
          <cell r="AJ541" t="str">
            <v>SHP/SIlvia draftde Step 1 on 20.01.2025. Sent to G&amp;T on 22.01. First SHP to reply to G&amp;T questions sent on  22.01 - done on 13.03. SIlvia/SHP provided further comments on 25.03. G&amp;T costed on 04.04. SHP to check the cost - too height, change the product - Silvia sent request on 28.04. G&amp;T responded on 07.05. SHP revised to aluminium for FOH and plastic for BOH on 02.06. G&amp;T recosted on 24.06. SHP to check each stair - aluminium/plastic.</v>
          </cell>
        </row>
        <row r="542">
          <cell r="A542" t="str">
            <v>R-VAR-0530</v>
          </cell>
          <cell r="C542" t="str">
            <v>ASSEMBLY HALL CABLE TRENCH PROFILES</v>
          </cell>
          <cell r="U542">
            <v>3</v>
          </cell>
          <cell r="AJ542" t="str">
            <v>SOMBP sent Step 1 to G&amp;T on 21.10. G&amp;T costed on 12.11. SOMBP uploaded on 12.11. Cost - 2/3 of the total price will be charged on SHP side and 1/3 on RPN. G&amp;T revised cost with split on 14.11. SHP to issue.
RPN issued Step 2. G&amp;T assessed on 05.12. RPN cost AGREEd on 05.12. G&amp;T sent final cost files to SHP on 05.12.
SHP to issue Step 3&amp;4. Sent on signature on 11.12.</v>
          </cell>
        </row>
        <row r="543">
          <cell r="A543" t="str">
            <v>R-VAR-0531</v>
          </cell>
          <cell r="C543" t="str">
            <v>Cafeteria – Design work associated with VAR 492</v>
          </cell>
          <cell r="U543">
            <v>3</v>
          </cell>
          <cell r="AJ543" t="str">
            <v>SHP/JM drafted Step 1 on 28.10. G&amp;T sent cost on 30.10 (only pricing, no cost assessment). SHP to issue. Sent on signature on 31.10.
RPN didn't issue Step 2.
SHP issued Step 3. RPN issued commercial proposal - on 27.11. SOMBP advised per Clare email from 11.12. on 12.12. G&amp;T assessed on 19.12. Workshop done with EggTelsa and SOMBP on 17.01. G&amp;T sent commented cost on 18.02. Some revision of drawings to come due to AHU/SAMP - SOMBP reissued drawigns on 07.03. SHP to issue Step 3 Rev 1.
 RPN to revise com proposal - target date 11.04. SOMBP to provide info on Annex 1 - done on 21.03.
SOMBP provided scope clarification per RPN/Giada email from 11.07 on 11.07.</v>
          </cell>
        </row>
        <row r="544">
          <cell r="A544" t="str">
            <v>R-VAR-0532</v>
          </cell>
          <cell r="C544" t="str">
            <v>Bldg B – Design work associated with VAR 463 and 496</v>
          </cell>
          <cell r="U544">
            <v>1</v>
          </cell>
          <cell r="AJ544" t="str">
            <v>JM drafted Step 1 on 28.10.Patrick sent cost estimate on 31.10. G&amp;T finalised the cost on 01.11. SHP to issue. Sent on signature on 01.11.
RPN issued Step 2 (target date was 22.11)
SHP issued Step 3 with drawings of VAR 463 and 496 (463 submitted by SOMBP, 496 submitted on 18.11). Drawings not issued, SOMBP revised drawings (SubSet 460 and 461) on 19 and 23.12. SHP issued drawings to RPN on 23.12.2024. RPN to assess and issue com proposal - target date 17.01 recieved on 21.01. G&amp;T assessed on 04.02. RPN responded on 10.02. G&amp;T replied on 17.02. SHP/Patrick to advise Calum on PXT extra hours - done on 19.03. G&amp;T replied to RPN on 19.03. RPN cost AGREED on 10.04. G&amp;T sent final cost file on 07.04. SHP to issue Step 4 saying that Oxyreduct descope will be taken out in Step 4 revision after the design is updated (tentative end of June 2025). Sent on signature on 22.04. Drawings list discrepancies are found on 01.05. SOMBP to coordinate with SHP a proper set of drawings.</v>
          </cell>
        </row>
        <row r="545">
          <cell r="A545" t="str">
            <v>R-VAR-0533</v>
          </cell>
          <cell r="C545" t="str">
            <v>Bins fixed furniture descope</v>
          </cell>
          <cell r="U545">
            <v>5</v>
          </cell>
          <cell r="AJ545" t="str">
            <v xml:space="preserve">SHP to draft Step 1. Per 22.01.2025 Max needs to check what is installed and what to ommit. Silvia to redraft Step 1 if needed after that. </v>
          </cell>
        </row>
        <row r="546">
          <cell r="A546" t="str">
            <v>R-VAR-0534</v>
          </cell>
          <cell r="C546" t="str">
            <v>BLDG AB DOORS UPDATE</v>
          </cell>
          <cell r="U546">
            <v>2</v>
          </cell>
          <cell r="AJ546" t="str">
            <v>SOMBP sent Step 1 to G&amp;T on 29.10. G&amp;T costed on 13.11. SOMBP issued to SHP on 14.11., SHP to issue to RPN. Sent on signature on 21.11.
RPN didn't issue Step 2.
SHP issued Step 3. RPN issued Com proposal on 02.04. G&amp;T assessed on 13.05. SHP/CInzia sent a comments to the scope on 20.06, meeting with SOMBP on 23.06 - site visit with SSS/Nicola is needed with SOMBP - done. On 01.07 Cinzia sent final list of comments. SSS/SHP meeting on 21.07, revision is not needed.
RPN replied to G&amp;T on 28.07. G&amp;T replied on 12.08. SOMBP+G&amp;T meeting is needed - G&amp;T to arrange - per Alistair email form 10.12. RPN to repond.</v>
          </cell>
        </row>
        <row r="547">
          <cell r="A547" t="str">
            <v>R-VAR-0535</v>
          </cell>
          <cell r="C547" t="str">
            <v>BLDG C - DOOR UPDATES</v>
          </cell>
          <cell r="U547">
            <v>2</v>
          </cell>
          <cell r="AJ547" t="str">
            <v>SOMBP to draft Step 1 - target date 25.11, requires coordination of scope with RPN - meeting on 28.11. SOMBP sent Step 1 on 04.12. SOMBP sent drawigns SubSet 458 on 05.12. SHP/JM confirmed SubSet 458 on 10.12. G&amp;T costed on 18.12. SOMBP uploaded on 06.01.2025. SHP to issue. Alex ok. Cinzia cheked MedCenter sliding door on 08.01.2025. Max and Benoit oked on 10.01. Sent on signature on 13.01.
RPN didn't issue Step 2.
SHP issued Step 3. RPN to issue commercial proposal - target date 15.02, 28.02, Vigano 25.03.2025 09.04.2025. 23.07, recieved on 19.09.2025. G&amp;T to assess and check with SOMBP - email sent to Jaime by Alistari on 07.10. SOMBP+G&amp;T meeting is needed - per Alistair email from 10.12. Scheduled by SHP on 15.12.</v>
          </cell>
        </row>
        <row r="548">
          <cell r="A548" t="str">
            <v>R-VAR-0536</v>
          </cell>
          <cell r="C548" t="str">
            <v>BLDG C - FIRE INDICATOR UPDATES</v>
          </cell>
          <cell r="U548">
            <v>1</v>
          </cell>
          <cell r="AJ548" t="str">
            <v>INS 421 bifurcation: Section AB and A - dayWork RFI. Section C - VAR 536. SOMBP sent Step 1 to RPN/G&amp;T on 05.11. G&amp;T costed on 11.11. SOMBP uploaded on 15.11. SHP to issue. Sent on signature on 26.11.
RPN didn't issue Step 2.
SHP issued Step 3. RPN issued Com proposal on 10.04. G&amp;T assessed on 13.05. SOMBP to reply to Clare's email from 13.05 - done on 14.05, this is part of CDP. RPN reponded to G&amp;T assessment on 19.05 - meeting on site 20.05. RPN sent details on 21.05. SOMBP replied to G&amp;T/Clare on 04.06. G&amp;T replied on 17.06. RPN responded on 08.07. SOMBP provided clarification to Clare per call on 19.08 on 22.08 in email. G&amp;T replied on 27.08. Meeting on 25.09. G&amp;T updated the cost on 14.10.2025. RPN replied to G+T. G+T to reply by 24.10. G+T to review and Consider separate meeting to be scheduled before 24.10. RPN sent revised cost assessment on 20.10. G&amp;T replied on 24.10. RPN updated cost assessment on 27.10 and 30.10. G&amp;T replied on 03.11. RPN responded on 04.11. G&amp;T replied on 12.11. RPN responded on 26.11. SHP/ALG replied on 26.11. G&amp;T replied on 05.11. RPN responded on 05.12. G&amp;T sent cost AGREED on 08.12. SHP to issue. Sent on signature on 12.12.</v>
          </cell>
        </row>
        <row r="549">
          <cell r="A549" t="str">
            <v>R-VAR-0537</v>
          </cell>
          <cell r="C549" t="str">
            <v>PROJECT DIAGNOSTIC - PROPOSAL FOR PHASE 4 LEAN SUPPORT</v>
          </cell>
          <cell r="U549">
            <v>5</v>
          </cell>
          <cell r="AJ549" t="str">
            <v>SHP recieved commercial proposal from ASPEN on 17.10. Marina drafted Step 1 on 31.10. Alex costed on 01.11. SHP to issue. Sent on signature on 04.11.
RPN didn't issue Step 2.
SHP issued Step 3. RPN didn't issue Com proposal in PMWEb. RPN sent com proposal in email on 22.01.2025. RPN provided additional info on 14.05. G&amp;T replied on 20.05. RPN cost AGREED on 20.05. G&amp;T sent cost files on 20/05. SHP to issue - first ASPEN to provide justification per Alex email from 22.05. Sent on signature on 02.06.</v>
          </cell>
        </row>
        <row r="550">
          <cell r="A550" t="str">
            <v>R-VAR-0538</v>
          </cell>
          <cell r="C550" t="str">
            <v>Bldg S1 Basement Archive Security review</v>
          </cell>
          <cell r="U550">
            <v>1</v>
          </cell>
          <cell r="AJ550" t="str">
            <v>SOMBP sent draft Step 1 to Samuel on 20.11. Samuel commented to SOMBP on 02.12. SOMBP sent Step 1 on 05.12. G&amp;T costed on 13.01. G&amp;T revised cost on 16.01. Cost gap is too big, G&amp;T to provide scope questions to SOMBP - fixed in meeting on 24.01. G&amp;T costed on 24.01. SOMBP uploaded on 24.01. SHP to add comment about 1 door temporary measures - not done. Sent on signature on 03.02. On hold by Stephen since 10.02. Samuel revised Internal form on 13.02. Sent on signature on 13.02.
RPN issued Step 2.
SOMBP to advise on Step 2 responce per Marina's email from 17.03. SHP had a meeting on 21.03. Site walk on 25.03. SOMBP to revise scope per Sam's email from 25.03 - not clear, SOMBP send questions on 23.04. SOMBP revised the scope on 12.06. G&amp;T to cost. SOMBP uploaded to PMWeb on 26.06. SHP to issue. Sent on signature on 30.06.
RPN recieved cost from EGGTELSA on 03.11.2025. RPN/Chiara sent 7.Q HS modifications request on 25.09. SOMBP replied on 30.09. SOMBP no need to revise annex per RPN email 03.10. RPN issued com proposal on 18.11. G&amp;T assessed on 10.12. RPN responded on 04.02. Meeting on 10.02. RPN revised cost on 18.02. G&amp;T replied on 23.02. Meeting on 09.03 - G&amp;T DETERMINEd on 09.03. SHP to issue.</v>
          </cell>
        </row>
        <row r="551">
          <cell r="A551" t="str">
            <v>R-VAR-0539</v>
          </cell>
          <cell r="C551" t="str">
            <v>Bldg A / AB Conference doors new doors buttons</v>
          </cell>
          <cell r="U551">
            <v>2</v>
          </cell>
          <cell r="AJ551" t="str">
            <v>Marina started Step 1, Max/Benoit to finalise Step 1. 
1. Buttons and electrical part (for 3 doors) to de done via DayWork RFIs. 
2. Programming via variation or separate DayWork RFI
3. Door stopper - to check if needed, scope.
Benoit to confirm the button model - done. SHP to revise INS 336 - revised with mock up.
03.02: SHP to comment the inspection of Moke up - worked ok. SHP/Max to draft Step 1 of variation, JM drafted on 16.06. Sent to G&amp;T on 18.06. SHP/JM corrected scope per RPN/Chiara email on 08.07. G&amp;T costed on 14.07. SHP sent cost comments on 21.07. SHP/JM sent revised scope on 21.07. G&amp;T recosted on 29.07. SHP/JM oked cost on 29.07. SHP to issue. Sent on signature on 06.08.
RPN didn't issue Step 2.
SHP issued Step 3. RPN to issue com porposal. SHP revised Step 3 rev 1 to add Council Chamber door on 27.02., SHP confirmed internally on 05.03. SHP to issue.</v>
          </cell>
        </row>
        <row r="552">
          <cell r="A552" t="str">
            <v>R-VAR-0540</v>
          </cell>
          <cell r="C552" t="str">
            <v>Bldg C RF1 materials on Stair 5</v>
          </cell>
          <cell r="U552">
            <v>2</v>
          </cell>
          <cell r="AJ552" t="str">
            <v>SOMBP needs to discuss scope with Vegano on 12.11. SOMBP drafted Step 1 on 15.11. G&amp;T to cost - target date 29.11, done on 23.01. SOMBP uploaded on 24.01. SHP to issue. Sent on signature on 30.01.
RPN didn't issue Step 2.
SHP issued Step 3. SOMBP to revise scope - accounted in VAR 611.  RPN to send com proposal - still not recieved. G&amp;T issued cost DETERMINATION on 15.10. SHP to issue. Sent on signature on 17.10.
RPN sent their com rpoposal in email on 18.02.2026. G&amp;T assessed on 06.03. RPN to reply.</v>
          </cell>
        </row>
        <row r="553">
          <cell r="A553" t="str">
            <v>R-VAR-0541</v>
          </cell>
          <cell r="C553" t="str">
            <v>Bldg S2 SOC area LB01 – FLS and Site condition amendments</v>
          </cell>
          <cell r="U553">
            <v>3</v>
          </cell>
          <cell r="AJ553" t="str">
            <v>SOMBP to darft Step 1. Tech workshop held on 13.12. SHP to check door. SHP to provide guidance as per Katherine Pink email of 20.01.2025. SOM/B+P is currently hands down. SHP/JM provided scope change on 11.03. SOMBP step 1 insuance target 21/03. On SOMBP revision - done on 27.03. SHP to review drawings - AV portion for the Crisis Room is still under SHP discussion. SHP/JMF oked drawings and Annex on 14.04. SOMBP sent var for costing on 15.04. G&amp;T costed on 23.05. SOMBP uploaded SubSet on 25.04. SHP reviewed ok. SOMBP commented cost on 02.06. G&amp;T sent clarification question on 04.06. SOMBP reponded on 05.06. G&amp;T costed on 20.06. SOMBP oked the cost on 03.07. SOMBP uploaded on 08.07. SHP to issue - Alex ok, Marina to check Weytec with SOMBP. Cancelled per meeting with Neil and Stephen on 22.08.2025.
on 06.01.2026 SOMBP came back with nessessary changes for SOC. On 27.01.2026 SOMBP shared Step 1 draft. G&amp;T costed on 03.02. SOMBP commented cost on 04.02. G&amp;T recosted on 04.02. SOMBP uploaded on 05.02. SHP to issue. Sent on signature on 06.02.
RPN to issue Step 2.
SHP to issue Step 3.</v>
          </cell>
        </row>
        <row r="554">
          <cell r="A554" t="str">
            <v>R-VAR-0542</v>
          </cell>
          <cell r="C554" t="str">
            <v>BLDG A L06 CCTV CAMERA POSITION CHANGES</v>
          </cell>
          <cell r="U554">
            <v>3</v>
          </cell>
          <cell r="AJ554" t="str">
            <v>Tech meeting with SHP to define cameras position on 25.11. SOMBP drafted Step 1 on 06.12. G&amp;T costed on 23.12. SOMBP uploaded on 06.01.2025. SHP to issue - Alex ok. On hold by Benoit from 06.01.2025 - Benoit oked on 08.01. Sent on signature on 08.01.
RPN didn't issue Step 2.
SHP issued Step 3. RPN sent com proposal on 15.04. G&amp;T assessed on 02.05. RPN reponded on 07.05. G&amp;T cost AGREED on 08.05. SHP to issue. Sent on signature on 16.05.</v>
          </cell>
        </row>
        <row r="555">
          <cell r="A555" t="str">
            <v>R-VAR-0543</v>
          </cell>
          <cell r="C555" t="str">
            <v>New intercom server</v>
          </cell>
          <cell r="U555" t="str">
            <v>TOP</v>
          </cell>
          <cell r="AJ555" t="str">
            <v>Benoit sent info to draft Step 1. on 09.12. Marina drafted Step 1 on 10.12. Benoit checked on 10.12. Marina sent to G&amp;T on 11.12. G&amp;T costed on 18.12. SHP to issue. Sent on signature on 12.12.
RPN issued Step 2. TIA submitted by RPN on 20.01.
G&amp;T to assess cost. SHP assessed TIA on 21.01. Cost AGREED on 23.01. 
SHP issued step 3. 
RPN to revise TIA. SHP to issue Step 4 cost agreement/EoT determination. Sent on signature on 05.02.
NoD recieved from RON on 20.03.2025</v>
          </cell>
        </row>
        <row r="556">
          <cell r="A556" t="str">
            <v>R-VAR-0544</v>
          </cell>
          <cell r="C556" t="str">
            <v>Salle C6 Chinese donation</v>
          </cell>
          <cell r="U556">
            <v>2</v>
          </cell>
          <cell r="AJ556" t="str">
            <v>To draft Step 1. CHinese design - target date end of Feb. SHP/MAM finished scope on 14.04. G&amp;T to cost - requires elec information. SHP to provide info per Calum email from 07.05. Scope is still under clarification - SHP/JM sent scope revision on 21.05. G&amp;T sent questions to SHP on 22.05. SHP/JM responded on 22.05. G&amp;T costed on 27.05. SHP commented cost on 28.05. G&amp;T recosted on 29.05. Patrick F oked on 04.06. G&amp;T corrected cost per KM email from 02.06 on 06.06. SHP to issue. Sent on signature on 12.06.
RPN didn't issue Step 2.
SHP issued Step 3. On 24.07 SHP/JM confirmed inclusion for INS 246. SHP to issue Step 3 Rev 1.
SHP replied to tech questions from RPN/Hacir from 13.08 on 30.09. Per SHP/JMF from 27.11: SHP to ask the Chinese supplier to prepare the MAS, and send them to RPN, RPN will submit them the normal way, and SHP will approve them. SHP to revise Step 3 rev 2 - JM done on 17.12. SHP to issue. Sent on siganture on 19.12. RPN issued com proposal on 16.02.2026. G&amp;T to assess.</v>
          </cell>
        </row>
        <row r="557">
          <cell r="A557" t="str">
            <v>R-VAR-0545</v>
          </cell>
          <cell r="C557" t="str">
            <v>BLDG A ADDITIONAL EMERGENCY LIGHTING</v>
          </cell>
          <cell r="U557">
            <v>2</v>
          </cell>
          <cell r="AJ557" t="str">
            <v>Tech meeting on 19.12 and onsite walk on 20.12. SOMBP drafted Step 1 on 09.01. G&amp;T costed on 14.01. SOMBP uploaded on 14.01. SHP to issue. Sent on signature on 16.01.
RPN didn't issue Step 2.
SHP issued Step 3. SOMBP updated markups on 29.01. SOMBP uploaded revised Step 3 on 31.01. SHP to issue.
RPN issued commercial proposal - target date 06.02 - done on 11.02. RPN sent TIA on 10.02. SHP assessed TIA on 11.02. RPN responded to TIA on 12.02. SHP assessed TIA on 13.02. RPN responded on 14.02. SHP replied on 14.02. 
G&amp;T to assess cost. SOMBP advised on the scope per marina's email from 12.02 on 14.02. G&amp;T sent cost assessment to RPN on 04.03. RPN to respond - meeting with G&amp;T on site. G&amp;T responded on 03.06. RPN responded on 08.07. G&amp;T replied on 18.08. RPN requested to DETERMINE on 26.08.2025. G&amp;T issued cost file to SHP on 04.09. SHP to issue. Sent on signature on 17.09.</v>
          </cell>
        </row>
        <row r="558">
          <cell r="A558" t="str">
            <v>R-VAR-0546</v>
          </cell>
          <cell r="C558" t="str">
            <v>BLDG A  TWO ADDITIONAL EI30 DOORS L02 AND L05</v>
          </cell>
          <cell r="U558">
            <v>2</v>
          </cell>
          <cell r="AJ558" t="str">
            <v>To draft Step 1 - first check tech solution with SHP/JEF. INS to be created for temporary solution on 09.01.2025 and VAR for permanent to follow (2nd door on Lv 5 may be included - needs SOMBP checking first). Info recieved from SBIS on 20.01 but RPN is already installing temporary doors.
RFI 1341 - covers only the temporary doors for SC. VAR 546 will cover the definitive doors, which will be installed ASC. SOMBP to issue Step 1 - target date 14.02, done on 05.02. G&amp;T costed on 14.02. SOMBP uploaded on 14.02. SHP to issue. Sent on signature on 19.02.
RPN didn't issue Step 2.
SHP issued Step 3. RPN issued com proposal on 30.04. G&amp;T reviewed on 21.05. RPN cost AGREED on 21.05. G&amp;T sent final cost file to SHP on 21.05. SHP to issue. Sent on signature on 22.05.</v>
          </cell>
        </row>
        <row r="559">
          <cell r="A559" t="str">
            <v>R-VAR-0547</v>
          </cell>
          <cell r="C559" t="str">
            <v>Bldg S2 Bulkheads and Stair 1 amendments</v>
          </cell>
          <cell r="U559">
            <v>3</v>
          </cell>
          <cell r="AJ559" t="str">
            <v>SOMBP sent Step 1 drafto to G&amp;T and RPN on 30.01. G&amp;T to cost - target date 12.02 - done on 13.02. SOMBP sent cost comments on 13.02. G&amp;T recosted on 14.02. SOMBP uploaded on 17.02. SHP to issue. Sent on signature on 19.02.
RPN didn't issue Step 2.
SHP issued Step 3. RPN to issue com proposal - still not recieved. G&amp;T sent cost DETERMINATION on 15.10. SHP to issue.</v>
          </cell>
        </row>
        <row r="560">
          <cell r="A560" t="str">
            <v>R-VAR-0548</v>
          </cell>
          <cell r="C560" t="str">
            <v>BLDG B DOORS AND SECURITY CHANGES</v>
          </cell>
          <cell r="U560">
            <v>2</v>
          </cell>
          <cell r="AJ560" t="str">
            <v>SOM/B+P  is awaiting SHP input to finalize. PMI possibly needed. In discussion with SSS to define Client requirements - details provided by SHP/Samuel on 14.05. SOMBP sent a VAR to SHP/G&amp;T on 12.06 and uploaded SubSet. SOMBP to adjust positions of the cameras. G&amp;T costed on 30.06. SOMBP uploaded on 01.07. SHP to issue Step 1. Sent for signature but stopped due to SSS comments from 23.07. Comments from SSS sent to SOMBP on 23.07. SSS/SHP and SHP/SOMBP meeting on 05.08 to revise the scope. SOMBP sent markups on 05.08. SHP confirmed on 18.08. SOMBP to revise - uploaded to Sharepoint on 26.08. SHP meeting on 04.09. SHP issued Step 3 with scope revision.
RPN to issue com proposal.</v>
          </cell>
        </row>
        <row r="561">
          <cell r="A561" t="str">
            <v>R-VAR-0549</v>
          </cell>
          <cell r="C561" t="str">
            <v>Descope of outside cameras</v>
          </cell>
          <cell r="U561">
            <v>4</v>
          </cell>
          <cell r="AJ561" t="str">
            <v>Step 1 info sent by Benoit on 20.12. Marina drafted Step 1 on 23.12, Sent to G&amp;T on 23.12. Benoit oked on 23.12.2024. Clare asked question and Benoit replied on 08.01. G&amp;T costed on 17.01. SHP to issue. Sent for signature on 22.01.
RPN didn't issue Step 2.
SHP issued Step 3. RPN to issue com proposal - still not issued. G&amp;T sent cost DETERMINATION on 15.10. SHP to issue. Sent on signature on 17.10.
NOD recieved. Meeting on 29.11.2025. G&amp;T sent revised quotation on 25.11. RPN cost AGREED on 17.12. G&amp;T sent final cost file to SHP on 23.12. 2 Bldg B cameras not included by Clare's email on 02.01.2026. Alex ok on 05.01.2026. SOMBP didn't find drawings on 09.01. SHP to issue. Sent on signature on 12.01.</v>
          </cell>
        </row>
        <row r="562">
          <cell r="A562" t="str">
            <v>R-VAR-0550</v>
          </cell>
          <cell r="C562" t="str">
            <v>MOTORISATION FOR FRESH AIR INTAKE</v>
          </cell>
          <cell r="U562">
            <v>4</v>
          </cell>
          <cell r="AJ562" t="str">
            <v>SOMBP drafted Step 1 on 04.04. G&amp;T costed on 09.05. SOMBP uploaded on 14.05. SHP to issue. Sent on signature on 26.05.
RPN didn't issue Step 2.
SHP issued Step 3. RPN to issue com proposal. RPN to check technical issues if any and notify SOMBP/Bob.</v>
          </cell>
        </row>
        <row r="563">
          <cell r="A563" t="str">
            <v>R-VAR-0551</v>
          </cell>
          <cell r="C563" t="str">
            <v>Bldg AB - L01 - Toilet dampers</v>
          </cell>
          <cell r="U563" t="str">
            <v>TOP</v>
          </cell>
          <cell r="AJ563" t="str">
            <v>SOMBP to draft Step 1. Cedric E will discuss final tech scope with RPN. SOMBP sent Step 1 on 23.01. G&amp;T to costed on 30.01. SOMBP sent cost comments on 30.01. G&amp;T updated on 03.02. SOMBP uploaded on 03.02. SHP to issue. Sent on signature on 07.02.
RPN didn't issue Step 2.
SHP issued Step 3. RPN to issue com proposal - target date 21.02 done on 05.03. G&amp;T sent assessment on 17.03. SOMBP advised scope per Marina's email from 07.03 and Clare from 18.03 on 19.03. G&amp;T updated cost on 19.03. RPN responded on 25.03. G&amp;T replied on 27.03. SOMBP provided descope on 01.04. G&amp;T to include it in discussion - Clare sent a clarification question to SOMBP/Jaime on 02.04. SOMBP replied on 03.04. RPN responded on 11.04. G&amp;T DETERMINED on 24.04. G&amp;T sent final cost file to SHP on 24.08. Sent on signature on 28.04.
RPN uploaded TIA on 05.03. SOMBP provided comments per Dean email on 06.03. SHP assessed on 13.03. RPN revised TIA on 26.03. SHP responded on 27.03.</v>
          </cell>
        </row>
        <row r="564">
          <cell r="A564" t="str">
            <v>R-VAR-0552</v>
          </cell>
          <cell r="C564" t="str">
            <v>Delegate restaurant extention BC</v>
          </cell>
          <cell r="U564">
            <v>1</v>
          </cell>
          <cell r="AJ564" t="str">
            <v>SHP drafted Step 1 on 15.01. Benoit oked on 16.01. G&amp;T to costed on 17.01. JEF oked cost on 20.01. Youssef to chek ventilation. SHP to issue. Revision of design with Schematec to add cooking area - drawings recieved on 29.04. Tech meeting with RPN and SOMBP on 30.04. Cancelled on 22.05 due to budget constrains.</v>
          </cell>
        </row>
        <row r="565">
          <cell r="A565" t="str">
            <v>R-VAR-0553</v>
          </cell>
          <cell r="C565" t="str">
            <v>FIRE CURTAIN KEYS</v>
          </cell>
          <cell r="U565">
            <v>2</v>
          </cell>
          <cell r="AJ565" t="str">
            <v>SOMBP to draft Step 1. First SHP to confirm scope (sent to Max as INS 407 rev 1). Max done on 04.02. SOMBP shared on 04.02. G&amp;T sent question on 17.02, SOMBP responded on 18.02. G&amp;T costed on 25.02. Cedric E oked cost on 26.02. SOMBP commented cost on 26.02. G&amp;T recosted on 04.03. SOMBP uploaded on 04.05. SHP to issue. Sent on signature on 10.03. Brahim checking with SSS if they can fund this variation.
RPN didn't issue Step 2.
SHP issued Step 3. RPN issued com proposal on 27.05. G&amp;T assessed on 24.06. Cost AGREED 26.06. G&amp;T sent final cost files on 15.07. SHP to issue. Sent on signature on 29.07.</v>
          </cell>
        </row>
        <row r="566">
          <cell r="A566" t="str">
            <v>R-VAR-0554</v>
          </cell>
          <cell r="C566" t="str">
            <v>Bldg AB FLS ISSUES (signages, emergency lights, fire detectors etc)</v>
          </cell>
          <cell r="U566">
            <v>2</v>
          </cell>
          <cell r="AJ566" t="str">
            <v>SOMBP drafted Step 1 on 27.01. G&amp;T costed on 30.01. SOMBP/Jaime sent comments to Clare/G&amp;T on 30.01 and AECOM comments on 03.02.  G&amp;T responded on 05.02. SOMBP responded on 06.02. G&amp;T recosted on 06.02. SOMBP uploaded on 06.02. SHP to issue. Sent on signature on 10.02.
RPN didn't issue Step 2.
SHP issued Step 3. RPN sent com proposal - target date 21.02 done on 05.03. First SOMBP commented scope per Marina's email from 06.03 on 06.03. G&amp;T assessed on 17.03. RPN to respond - meeting on site with G&amp;T, cost revision sent on 10.04. G&amp;T responded on 20.05. RPN replied on 08.07. G&amp;T responded on 18.08. RPN requested DETERMINATION on 26.08.2025. G&amp;T sent final cost file on 04.09. SHP to issue. Sent on signature on 10.09.
TIA uploaded by RPN on 26.02. SHP responded on 04.02. RPN revised on 05.03. SHP to respond after Var 551 TIA = done EoT 30 days granted on 18.03.</v>
          </cell>
        </row>
        <row r="567">
          <cell r="A567" t="str">
            <v>R-VAR-0555</v>
          </cell>
          <cell r="C567" t="str">
            <v>Virtual Servers EL Supervision System</v>
          </cell>
          <cell r="U567">
            <v>5</v>
          </cell>
          <cell r="AJ567" t="str">
            <v>MAC/SHP drafted Step 1 on 22.01. per Benoit direction. Sent to G&amp;T on 22.01. G&amp;T costed on 10.03. Benoit oked cost on 10.03. First G&amp;T sent cost assessment on 11.03. SHP to issue. Sent on signature on 13.03.
RPN issued Step 2. Benoit and Dragos commented on 24.03. G&amp;T commented on 26.03. G&amp;T sent cost assessment to RPN on 27.03. SHP issued Step 3. Meeeting on 11.04. RPN to reply - to check if RPN can work remotely - no reply recieved from Sub. RPN requested to cancel on 04.11. SHP to confirm - no withdrawal per meeting on 11.12 with Cedric K and benoit. G&amp;T sent a question to SHP on 02.01.2026. SHP replied on 02.01. G&amp;T asked question on 13.01.2026 and SHP replied on 14.01. G&amp;T issued determination on 14.01. SHP/G&amp;T meeting on 22.01. G&amp;T/Clare sent questions on 22.01. SHP/DRI replied on 23.01. G&amp;T ot revise the cost.</v>
          </cell>
        </row>
        <row r="568">
          <cell r="A568" t="str">
            <v>R-VAR-0556</v>
          </cell>
          <cell r="C568" t="str">
            <v>Evacuation signage and stair nose lighting</v>
          </cell>
          <cell r="U568">
            <v>3</v>
          </cell>
          <cell r="AJ568" t="str">
            <v>MAC/SHP drafted Step 1 on 22.01. per Benoit direction. Sent to G&amp;T on 22.01. Meeting with SOMBP to clarify the scope is needed - Cedric provided info on 24.01. G&amp;T asked for TD scope clarification on 30.01. SOMBP responded on 30.01. G&amp;T costed on 27.02. SHP to issue - on hold by Benoit from 06.03.2025 - SOMBP/Cedric E provide substantiation to why INS 389 does not entail variation - done on 20.03. SHP to make a decision - Benoit cancelled on 12.03.2025.</v>
          </cell>
        </row>
        <row r="569">
          <cell r="A569" t="str">
            <v>R-VAR-0557</v>
          </cell>
          <cell r="C569" t="str">
            <v>Bldg S1 - Minor security changes in Basement 2</v>
          </cell>
          <cell r="U569">
            <v>1</v>
          </cell>
          <cell r="AJ569" t="str">
            <v>SOMBP drafted Step 1 on 14.02. SHP/Benoit confirmed additional scope should be revised per Matteo email from 24.02. on 03.03. G&amp;T costed on 10.03. SOMBP to add 1 phrase per Benoit email from 03.03 and per Cinzia email from 11.03. SOMBP sent comment to G&amp;T on 12.03. G&amp;T recosted on 12.03. SOMBP uploaded on 14.03. SHP to issue. Sent on signature on 19.03.
RPN issued Step 2.
SOMBP provided responce to Step 2 on 03.04. Matteo/RPN oked scope on 03.04. Patrick oked it. Andrea confirmed on 09.04. SHP isseud Step 3. 
On 16.05.2025 and 05.08.2025 RPN confirmed that no works on site started. SOMBP confirmed no tech impact on 11.08. RPN to progress on site. RPN issued com porposal on 05.12. G&amp;T assessed on 06.01. RPN replied on 13.02. G&amp;T replied on 27.02. SSS will move to this area on the 20/04/26. Meeting on 09.03 - G&amp;T DETERMINEd today (Clare made her part on 09.03, Calum finished as well) on 09.03. SHP to issue.</v>
          </cell>
        </row>
        <row r="570">
          <cell r="A570" t="str">
            <v>R-VAR-0558</v>
          </cell>
          <cell r="C570" t="str">
            <v>Descope of 1 hardwareset of existing fire rated door in Concordia</v>
          </cell>
          <cell r="U570"/>
          <cell r="AJ570" t="str">
            <v>Scope to be incuded in VAR 561. This varitiaon is cancelled</v>
          </cell>
        </row>
        <row r="571">
          <cell r="A571" t="str">
            <v>R-VAR-0559</v>
          </cell>
          <cell r="C571" t="str">
            <v>Temporary canteen for CAFETERIA BC</v>
          </cell>
          <cell r="U571">
            <v>1</v>
          </cell>
          <cell r="AJ571" t="str">
            <v>Step 1 sent to G&amp;T on 05.02. G&amp;T costed on 12.02. SHP sent comments on 13.02. G&amp;T sent pricing doc on 13.02. SHP to issue. Sent on signature on 13.02. CANCELLED per DG decision on 26.02.2025.</v>
          </cell>
        </row>
        <row r="572">
          <cell r="A572" t="str">
            <v>R-VAR-0560</v>
          </cell>
          <cell r="C572" t="str">
            <v>DayWork</v>
          </cell>
          <cell r="U572">
            <v>4</v>
          </cell>
          <cell r="AJ572" t="str">
            <v>SHP/Marina drafted Step 1. Sent on signature on 03.03. Alex to advise on the amout increase for this variaiton - done on 13.03. up to 500k. Resend for signatures.
RPN didn't issue Step 2.
SHP issued Step 3. RPN/G&amp;T to close DayWork RFIs.</v>
          </cell>
        </row>
        <row r="573">
          <cell r="A573" t="str">
            <v>R-VAR-0561</v>
          </cell>
          <cell r="C573" t="str">
            <v>VARIOUS COST SAVINGS</v>
          </cell>
          <cell r="U573">
            <v>4</v>
          </cell>
          <cell r="AJ573" t="str">
            <v>SOMBP sent draft Step 1 to G&amp;T on 05.02.2025. G&amp;T to cost - not need costing. SOMBP drafted on 17.03. SHP to issue - depends on RPN responce to INS 415 - sent email to Federica on 18.03. SHP to check internally if we add more items. Sent on signature on 23.06. RPN didn't submit step 2.
SHP issued Step 1 rev 1 and Step 3. RPN to submit com proposal.</v>
          </cell>
        </row>
        <row r="574">
          <cell r="A574" t="str">
            <v>R-VAR-0562</v>
          </cell>
          <cell r="C574" t="str">
            <v>Bldg B Library Pilot move</v>
          </cell>
          <cell r="U574">
            <v>2</v>
          </cell>
          <cell r="AJ574" t="str">
            <v>Marina drafted Step 1 on 04.03. SHP/L&amp;A to edit. Sent to G&amp;T for costing on 04.03. G&amp;T costed on 11.03. SHP to issue. Sent on signature on 12.03.
RPN issued Step 2.
SHP issued Step 3.
G&amp;T assessed on 18.03. RPN responded on 25.03. G&amp;T cost AGREED on 25.03. RPN updated cost with additional Pelichet hours. G&amp;T sent cost AGREED on 07.04. SHP to issue - Alex to update cost file with G&amp;T, G&amp;T sent revised cost file on 07.05. Sent on signature on 09.05.</v>
          </cell>
        </row>
        <row r="575">
          <cell r="A575" t="str">
            <v>R-VAR-0563</v>
          </cell>
          <cell r="C575" t="str">
            <v>DELEGATES RESTAURANT KITCHEN AIR TRANSFER</v>
          </cell>
          <cell r="U575">
            <v>1</v>
          </cell>
          <cell r="AJ575" t="str">
            <v xml:space="preserve">to draft Step 1 - target date 12.02. SOMBP sent Step 1 on 12.02. G&amp;T costed on 18.02. Cedric E oked cost on 19.02. SOMBP uploaded on 20.02. Youssef oked on 24.02. SHP to issue. SOMBP/G&amp;T  checked no RFI should be descoped on 19.02. Minor scope revision added by Cedric E on 25.02. Clare revised cost on 03.03. SHP to issue. Sent on signature on 07.03.
RPN didn't issue Step 2.
SHP issued Step 3. RPN issued com proposal - target date 08.04 - done on 10.04. G&amp;T assessed on 09.05. RPN replied on 20.05. G&amp;T reponded on 04.06. RPN replied on 05.06. G&amp;T replied on 10.06. RPN responded on 19.06. G&amp;T responded on 24.06. RPN sent drawings on 01.07. G&amp;T sent on 15.07. G&amp;T sent AGREED cost on 16.07. SHP to issue step 4. Sent on signature on 24.07.
Works to be done ASC after April 7. </v>
          </cell>
        </row>
        <row r="576">
          <cell r="A576" t="str">
            <v>R-VAR-0564</v>
          </cell>
          <cell r="C576" t="str">
            <v>Bldg B Library move out (1 lkm)</v>
          </cell>
          <cell r="U576">
            <v>3</v>
          </cell>
          <cell r="AJ576" t="str">
            <v>Marina drafted Step 1 on 19.03. SHP/L&amp;A to check and edit. Sent for costing on 10.04. G&amp;T costed on 15.04. SHP sent comments on 15.04. G&amp;T recosted on 15.04 and 24.04. SHP to issue. Sent on signature on 28.04.
RPN didn't issue Step 2.
SHP issued Step 3. RPN sent MAS for airconditioning on 28.05. SHP sent comment to MAS on 02.06. RPN sent MAS for awning on 20.06. SHP commented MAS on 25.06 and 16.07.  RPN issued commercial proposal on 27.06. Following technical meeting to identify an alternative solution that reduced heat in the rooms, revised Step 3 to be issued to RPN to update their Step 2 cost. SHP/Sam rejected film, awnings to stay or not installed as it's almost autumn. G&amp;T assessed on 08.08. RPN replied on 26.08. G&amp;T replied on 11.09. Main cost items agreed on 18.09 in commercial meeting. G&amp;T revised cost per com meeting on 16.09. SHP issued Step 3 rev 1. RPN responded on 18.02. G&amp;T DETERMINEd per RPN request (no agreement on elec works due to EggTelsa not providing a reply) on 19.02. G&amp;T corrected excel file on 23.02. SHP to issue.</v>
          </cell>
        </row>
        <row r="577">
          <cell r="A577" t="str">
            <v>R-VAR-0565</v>
          </cell>
          <cell r="C577" t="str">
            <v>DayWork</v>
          </cell>
          <cell r="U577">
            <v>4</v>
          </cell>
          <cell r="AJ577" t="str">
            <v>To draft Step 1. On hold - not needed now, awaiting VAR 560 closure.</v>
          </cell>
        </row>
        <row r="578">
          <cell r="A578" t="str">
            <v>R-VAR-0566</v>
          </cell>
          <cell r="C578" t="str">
            <v>HALL A14 VENTILATION</v>
          </cell>
          <cell r="U578">
            <v>1</v>
          </cell>
          <cell r="AJ578" t="str">
            <v>SOMBP drafted Step 1 on 07.02. G&amp;T costed on 21.02. SOMBP uploaded on 24.02. SHP to issue. Sent on signature on 07.03. Patrick F revised IntF per Barim questions on 11.03. Resent on signature on 11.03.
RPN didn't issue Step 2.
SHP issued Step 3. RPN issued com proposal on 17.04. SOMBP emphasizes the need for cost balance (provide meeting minutes and FMS sent from 2022). SHP/G&amp;T/SOMBP meeting on 28.04. Patrick F commented 0 cost for Post SC prelims on 29.04. SOMBP provided additional scope comments on 29.04 and 02.05. G&amp;T assessed 07.05. RPN responded on 27.05. G&amp;T sent questions on 17.06. SOMBP replied on 17.06. Patrick F advised on cost rework ASC on 18.06. G&amp;T replied to RPN on 18.06. RPN proposed to determine on 18.06. SHP/Patrick F confirmed on 19.06. G&amp;T sent cost files on 23.06. G&amp;T updated cost file per Alex email on 24.06. SHP to issue. Sent on signature on 30.06.</v>
          </cell>
        </row>
        <row r="579">
          <cell r="A579" t="str">
            <v>R-VAR-0567</v>
          </cell>
          <cell r="C579" t="str">
            <v>BLDG AB L01 SALLE XIV DOOR UPDATE</v>
          </cell>
          <cell r="U579">
            <v>2</v>
          </cell>
          <cell r="AJ579" t="str">
            <v>SOMBP to draft Step 1 - target date 12.02. It will cover additional FLS requirements related both to VAR-525 and INS-405 (Door discrepancies). The variation will descope some elements from VAR-525, (push buttons on air-lock) while it will add 5 EI30 doors and an EI60 ceiling. SOMBP sent Step 1 on 17.02. G&amp;T costed on 21.02. SOMBP sent comments on 24.02. G&amp;T recosted on 25.02. SOMBP uploaded on 25.02. SHP to issue. Sent on signature on 07.03.
RPN didn't issue Step 2.
SHP issued Step 3.
RPN uploaded a TIA on 04.04. SHP responded on 04.04 (RR). RPN revised on 07.04. SHP replied to split works beforeafter SC on 08.04.
SOMBP revised scope with additional client requirement - access control - done on 26.05. SOMBP revised scope per RPN/Chiara sent email on 28.05 and SHP/JM INS 366 revision on 12.06. SHP/JMF commented on 13.06.2025. SOMBP revised on 17.06. SHP to issue Step 3 rev 1. 16.07 RPN to issue com proposal - target date 30.07 - still not recieved, G&amp;T sent DETERMINATION cost file on 15.10. SHP to issue. Sent on signature on 17.10.</v>
          </cell>
        </row>
        <row r="580">
          <cell r="A580" t="str">
            <v>R-VAR-0568</v>
          </cell>
          <cell r="C580" t="str">
            <v>BLDG B L01 CYBERSPACE FINISHES UPDATE</v>
          </cell>
          <cell r="U580">
            <v>4</v>
          </cell>
          <cell r="AJ580" t="str">
            <v>SOMBP sent draft Step 1 to G&amp;T on 06.02.2025. G&amp;T costed on 20.02. SOMBP commented cost on 20.02. G&amp;T recosted on 20.02. SOMBP uploaded on 20.02. SHP to issue. Sam oked on 21.02.
RPN didn't issue Step 2.
SHP issue Step 3. RPN to issue com proposal - still not recieved, G&amp;T issued DETERMINATION cost file on 15.10. SHP to issue. Sent on signature on 17.10.</v>
          </cell>
        </row>
        <row r="581">
          <cell r="A581" t="str">
            <v>R-VAR-0569</v>
          </cell>
          <cell r="C581" t="str">
            <v>Bldg C replace bar roller shutter</v>
          </cell>
          <cell r="U581">
            <v>3</v>
          </cell>
          <cell r="AJ581" t="str">
            <v>SOMBP drafted Step 1 on 10.04. SHP to recieve detail for fontain from FMS. SHP to provide info to Lucille - done on 14.04. SOMBP sent to G&amp;T on 15.04. G&amp;T costed on 07.05. SOMBP uploaded on 09.05. SHP to issue. Sent on signature on 16.05.
RPN didn't issue Step 2.
SHP issued Step 3. RPN to issue com proposal - target date 30.07 - still not recieved, G&amp;T issued cost DETERMINATION on 15.10. SHP to issue. Sent on signature on 17.10.
Per 04.03.2026 Bldg C 12 WLA - PAF no fontain is needed, no plumbing, do per TD.</v>
          </cell>
        </row>
        <row r="582">
          <cell r="A582" t="str">
            <v>R-VAR-0570</v>
          </cell>
          <cell r="C582" t="str">
            <v>Bldg C L02 Door Design Clarification</v>
          </cell>
          <cell r="U582">
            <v>2</v>
          </cell>
          <cell r="AJ582" t="str">
            <v>SOMBP drafted Step 1 on 14.02. G&amp;T costed on 13.02. SOMBP sent comment on 13.03. G&amp;T recosted on 13.03. SOMBP uploaded on 13.03. SHP to issue. Alex - ok. SHP/Max to update the scope with SOMBP - updated on 03.10. Sent on signature on 06.10.2025. SHP/Max sent scope comments to G&amp;T/SOMBP on 08.10. SHP/MAM to add SAS for Council Chamber - done on 17.11. G&amp;T recosted on 23.12. SHP/MAM oked the cost on 27.01. SHP to issue. Sent on signature on 29.01.
RPN didn't issue Step 2.
SHP issued Step 3. RPN to issue com proposal.</v>
          </cell>
        </row>
        <row r="583">
          <cell r="A583" t="str">
            <v>R-VAR-0572</v>
          </cell>
          <cell r="C583" t="str">
            <v>BLDG S1 SKYLIGHT INSULATION</v>
          </cell>
          <cell r="U583">
            <v>4</v>
          </cell>
          <cell r="AJ583" t="str">
            <v>SOMBP sent Step 1 to G&amp;T on 28.02. G&amp;T costed on 12.03. SOMBP provided cost comments on 25.03. G&amp;T recosted on 25.03. SOMBP uploaded on 26.03. SHP to issue. Sent on signature on 10.04. internal form returned by Stephen on 29.04. Marina to revise Internal form.
RPN Step 2 didn't issue.
SHP issued Step 3. RPN to issue com proposal - still not recieved. G&amp;T issued cost DETERMINATION on 15.10. SHP to issue. Sent on signature on 17.10.</v>
          </cell>
        </row>
        <row r="584">
          <cell r="A584" t="str">
            <v>R-VAR-0573</v>
          </cell>
          <cell r="C584" t="str">
            <v>BLDG C L00 DOCK 5 DOOR UPDATE</v>
          </cell>
          <cell r="U584">
            <v>1</v>
          </cell>
          <cell r="AJ584" t="str">
            <v>SOMBP drafted Step 1 on 19.02. G&amp;T/CAlum costed on 04.02. SOMBP sent comments to G&amp;T on 04.03. G&amp;T/Calum replied on 04.03. SOMBP commented on 04.03. G&amp;T revised cost on 04.03. SOMBP uploaded on 05.03. SHP to issue. Sent on sognature on 07.03.
RPN didn't issue Step 2.
SHP issued Step 3. RPN issued com proposal on 24.03.2025. G&amp;T assessed on 08.04. G&amp;T cost AGREED on 08.04. SHP to issue. Sent on signature on 22.04.</v>
          </cell>
        </row>
        <row r="585">
          <cell r="A585" t="str">
            <v>R-VAR-0574</v>
          </cell>
          <cell r="C585" t="str">
            <v>BLDG A AB VARIOUS ELECTRICAL DESCOPE ITEMS</v>
          </cell>
          <cell r="U585">
            <v>1</v>
          </cell>
          <cell r="AJ585" t="str">
            <v>SOMBP to draft Step 1 - target date 21.03.2025 - done on 20.03. G&amp;T costed on 21.03. SOMBP commented cost on 24.03. G&amp;T recosted on 24.03. SOMBP uploaded on 24.03. SHP to issue. Sent on signature on 27.03.
RPN didn't issue Step 2.
SHP issued Step 3. RPN isssued com propoasl on 15.04. G&amp;T cost AGREED on 02.05. G&amp;T sent files to SHP on 08.05. SHP to issue. Sent on signature on 16.05.</v>
          </cell>
        </row>
        <row r="586">
          <cell r="A586" t="str">
            <v>R-VAR-0571</v>
          </cell>
          <cell r="C586" t="str">
            <v>Bldg B Hypoxic Chambers descope</v>
          </cell>
          <cell r="U586">
            <v>2</v>
          </cell>
          <cell r="AJ586" t="str">
            <v>SOMBP to issue Step 1 based on PMI 98. or revise VAR 532 and 496? PMI 98 Step 1 sent to SOMBP on 11.03. And PMI 98 was revised - SOMBP will issue separate var for FLS, this one is drafted by SHP. SHP to draft Step 1. Youssef provided makrups. Samuel to add ARCH. SHP to set up workshop to check if watermist is needed or compartmentalisation can serve the purpose. Patrick F made edits on 02.06.2025. On 14.07. drawings are ready. Sent to G&amp;T on 15.07. G&amp;T to cost - decided to issue with no cost file. SHP to issue. Sent on signature on 24.07.
RPN didn't isseu Step 2.
SHP issued Step 3. RPN to issue com proposal.</v>
          </cell>
        </row>
        <row r="587">
          <cell r="A587" t="str">
            <v>R-VAR-0576</v>
          </cell>
          <cell r="C587" t="str">
            <v>BLDG C - FLS EL AND MH UPDATE</v>
          </cell>
          <cell r="U587">
            <v>3</v>
          </cell>
          <cell r="AJ587" t="str">
            <v>SOMBP drafted Step 1 on 07.03. SOMBP provided comments to G&amp;T email from 19.03. G&amp;T costed on 19.03. SOMBP t provided cost comments on 19.03 and 20.03. G&amp;T recosted on 20.03. SOMBP uploaded on 20.03. SHP to issue. Sent on signature on 25.03.
SOMBP checked  per Andrea email from 20.03 - wall already built is fire rated.
RPN to organise a meeting to confirm content with all sub-contractors involved in installation works and provision of final certificates per MoM form 18.03.
RPN didn't issue Step 2.
SHP issued Step 3. RPN issued com proposal on 12.06.
TIA issued on 05.05. SHP to assess. First SOMBP responded to SHP questions from and on 05.05. Dean sent new questions on 06.05 - SOMBP to respond. SHP rejected TIA on 09.05.
RPN to send a thermal load report to SOMBP, SOMBP revised scope accordingly after that on 27.06. SHP to issue. Step 3 rev.1 issued 03.07. G&amp;T submit comments on 16.07. SOMBP commented 4 fire dampers on 21.07 adn 22.07. 
SOMBP revised Step 3 rev 2 on 24.07 to add 4 fire dumpers + smoke detector, but all costs related to duct modifications will be refused as they are the result of lack of coordination. SHP issued. RPN to respond to G&amp;T comment and include revision in the cost-  done on 23.09. SOMBP replied to Clare's email from 25.09 on 29.09. G&amp;T replied on 02.10. RPN responded on 07.10. G&amp;T replied on 13.10 and 03.11. RPN responded on 11.11 and 12.11. G&amp;T replied on 26.11. RPN responded on 27.11. RPN requested to DETERMINE on 27.11, the quantities may be adjusted after work completion. G&amp;T issued cost files to SHP on 03.12. SHP to issue. Sent on signature on 09.12.
RPN submitted TIA on 08.09.2025. SHP assessed, TIA rejected on 10.09.</v>
          </cell>
        </row>
        <row r="588">
          <cell r="A588" t="str">
            <v>R-VAR-0577</v>
          </cell>
          <cell r="C588" t="str">
            <v>BLDG C - SECURITY UPDATE</v>
          </cell>
          <cell r="U588">
            <v>1</v>
          </cell>
          <cell r="AJ588" t="str">
            <v>SOMBP drafted Step 1 on 14.03. G&amp;T to cost - target date 21.03 done on 25.03. SOMBP commented cost on 27.03. G&amp;T recosted on 01.04. SOMBP uploaded on 10.04. SHP to issue. Sent on signature on 04.04.
RPN didn't issue Step 2.
SHP issued Step 3. RPN issued com proposal on 09.05. G&amp;T assessed on 21.05. RPN reponded on 27.05. G&amp;T replied on 29.05. RPN replied on 02.06. G&amp;T replied on 17.06. RPN cost AGREED on 23.06. G&amp;T submited final cost files on 23.06. SHP to issue. Sent on signature on 30.06.</v>
          </cell>
        </row>
        <row r="589">
          <cell r="A589" t="str">
            <v>R-VAR-0578</v>
          </cell>
          <cell r="C589" t="str">
            <v>ARCHIBUS MAINTENANCE AND SUPPORT continuation of maintenance</v>
          </cell>
          <cell r="U589">
            <v>4</v>
          </cell>
          <cell r="AJ589" t="str">
            <v>Request recieved from RPN on 28.02. SHP to check if variation should be issued - confirmed by Zeynep on 06.03. G&amp;T to provide info per Marina's email from 06.03 - done on 14.03. SHP to check var draft - Zeynep and Marco oked on 17.03. Sent to G&amp;T for costing on 18.03. G&amp;T costed 20.03. G&amp;T recosted on 22.04. SHP to issue. Sent on signature - on 25.04.
RPN didn't issue Step 2.
SHP issued Step 3. RPN to issue com proposal - still not issued. G&amp;T sent cost DETERMINATION on 15.10. RPN submitted com poprosal on 16.10. SHP to issue. Sent on signature on 17.10.</v>
          </cell>
        </row>
        <row r="590">
          <cell r="A590" t="str">
            <v>R-VAR-0579</v>
          </cell>
          <cell r="C590" t="str">
            <v>Bldg C L00 - C6 entrance update</v>
          </cell>
          <cell r="U590">
            <v>2</v>
          </cell>
          <cell r="AJ590" t="str">
            <v>SOMBP drafted Step 1 on 17.03. G&amp;T costed on 20.03. SOMBP uploaded on 20.03. SHP to issue. Sent on signature on 26.03.
RPN didn't issue Step 2.
SHP issued Step 3. RPN issue com proposal on 15.04. G&amp;T cost AGREED on 25.04. SHP to issue. Sent on signature on 02.05.</v>
          </cell>
        </row>
        <row r="591">
          <cell r="A591" t="str">
            <v>R-VAR-0575</v>
          </cell>
          <cell r="C591" t="str">
            <v>AV-TR move for Room 1</v>
          </cell>
          <cell r="U591">
            <v>2</v>
          </cell>
          <cell r="AJ591" t="str">
            <v>SHP/Patrick V drafted Step 1 on 27.02. Dragos and Youssef commented on 28.02. Benoit on 04.03. SHP/Patrick V said to send it to G&amp;T on 07.03. Marina sent to G&amp;T on 10.03. First SHP to comment scope per Clare's email from 24.03 - done on 16.04.  G&amp;T costed on 22.04. SHP/PAV checked the cost on 02.05. Alex - ok. Need revision on tech solution - meeting on 12.05. Youssef provided comments on 14.05. G&amp;T recosted on 16.05. Patrick V to revise the scope - done on 11.06. G&amp;T recosted on 18.06. SHP/YOM provided HVAC markups on 20.06. SHP to issue. Sent on signature on 30.06. step 1 issued 07.07. 
RPN didn't submit step 2. 
SHP issued step 3. SHP to provide MEP details after sitewalk - done on 05.09. RPN proposed a technical solution for cooling loop at site visit on 18.09 and FEB provided floor boxes location clarification in email on 18.09. Site walk on 24.09. SHP/YOM revised the scope on 24.09. SHP issued Step 3 rev 1 (scope oked by Patrick V and Dragos).
SHP to check info sent by PAV on 01.10. 28.10 Step 3 Rev 1 is required: Socket in Salle 1 at L01 + false ceiling at level 0 +. SHP/JAF sent Step 3 Rev 2 to MAC on 31.10. SHP to issue.
RPN issued com proposal on 13.11. G&amp;T sent question to SHP on 25.11. SHP to reply. G&amp;T sent a reply to RPN on 03.12. RPN replied on 12.12. G&amp;T responded on 18.12. Call on 19.12.2025 G&amp;T/RPN. G&amp;T sent updated cost on 02.01.2026. RPN replied on 06.01. G&amp;T replied on 09.01. SHP/RPn meeting on 16.01. RPN sent marckups on 16.01. G&amp;T cost AGREED on 16.01. G&amp;T sent it to SHP on 16.01. SHP to issue. Sent on signature on 20.01.
On 04.02.2026 RPN sent an emial with 500 CHF discrepancy. G&amp;T sent correct cost to SHP on 05.02. SHP to issue.</v>
          </cell>
        </row>
        <row r="592">
          <cell r="A592" t="str">
            <v>R-VAR-0580</v>
          </cell>
          <cell r="C592" t="str">
            <v>BLDG S2 L00 AND SAFI AREA AMENDMENTS</v>
          </cell>
          <cell r="U592">
            <v>3</v>
          </cell>
          <cell r="AJ592" t="str">
            <v>SOMBP drafted Step 1 01.05. G&amp;T costed on 23.05. SOMBP commented on 23.05. G&amp;T recosted on 27.05. SOMBP commented cost on 27.05. G&amp;T recosted on 28.05. SOMBP uploaded on 28.05. SHP to issue. Sent on signature on 04.06.
RPN didn't issue Step 2.
SOMBP to adjust the scope (timing + descope), first SHP to provide comments to SOMBP/Rosario email from 26.06 - done by Sam on 30.06. SOMBP/Rosario sent clarified question to SHP on 01.07. SHP/Sam repsonded on 01.07. Revised by SOMBP 09.07. SHP issued step 3. SOMBP uploaded Step 3 Rev 1 to correct drawings verions on 16.10. Patrick F oked on 16.10. SOMBP uploaded drawings on 20.10. SHP issued Step 3 R1 after Donatella's confirmation.
SOMBP shared revision on 27.01. SOMBP uploaded on 02.02. SubSet is missing. SOMBP reuploaded on 04.02. SHP to issue. RPN to issue com proposal.</v>
          </cell>
        </row>
        <row r="593">
          <cell r="A593" t="str">
            <v>R-VAR-0582</v>
          </cell>
          <cell r="C593" t="str">
            <v>Temporary Logistic area for CAFETERIA BC</v>
          </cell>
          <cell r="U593">
            <v>2</v>
          </cell>
          <cell r="AJ593" t="str">
            <v>To draft. Await Schematec design - recieved on 29.04. SHP to assess. Meeting with RPN on 30.04. Schematec - to revise drawings. Cancelled on 22.05. due to budget constrains.</v>
          </cell>
        </row>
        <row r="594">
          <cell r="A594" t="str">
            <v>R-VAR-0581</v>
          </cell>
          <cell r="C594" t="str">
            <v>Bldg C Descope of basement linoleum flooring (ARCHIVES LB1-LB2-LB3)</v>
          </cell>
          <cell r="U594">
            <v>3</v>
          </cell>
          <cell r="AJ594" t="str">
            <v>SHP/Max drafted on 15.09.2025. Sent to G&amp;T on 15.09. SHP/Max to reply with scope clarification to Calum email from 17.09 - done on 22.09. G&amp;T costed on 26.09. SHP to issue cost comments - meeting on 06.10. G&amp;T revised cost on 06.10. SHP/MAM revised the scope on 22.10. G&amp;T recosted on 22.10. SHP/MAM commented on 22.10. G&amp;T revise cost on 22.10. SHP/MAX commented on 27.10. G&amp;T revised on 27.10. SHP/Max sent final files on 31.10. SHP to issue. Sent on signature on 06.11.
RPN didn't issue Step 2.
SHP issued Step 3. RPN issued com proposal. G&amp;T assessed on 06.03. RPN to reply.</v>
          </cell>
        </row>
        <row r="595">
          <cell r="A595" t="str">
            <v>R-VAR-0584</v>
          </cell>
          <cell r="C595" t="str">
            <v>CONCORDIA ACCESS CONTROL CHANGES</v>
          </cell>
          <cell r="U595">
            <v>3</v>
          </cell>
          <cell r="AJ595" t="str">
            <v>SOMBP sent Step 1 to RPN and G&amp;T on 09.04. G&amp;T costed on 09.05. First SOMBP confirmed NO NCF has will be raised due to the badge readers being installed on the incorrect side of the door per Elliot email from/on 09.05. Tech workshop is needed. SOMBP uploaded on 12.05. SHP to issue. Snet on signature on 16.05.
RPN didn't issue Step 2.
SHP issued Step 3. RPN to issue com proposal - still not recieved. G&amp;T sent cost DETERMINATION on 15.10. SHP to issue. Sent on signature on 17.10.
On 06.03.2026 RPN sent cost assessment. G&amp;T/SOMBP to review.</v>
          </cell>
        </row>
        <row r="596">
          <cell r="A596" t="str">
            <v>R-VAR-0583</v>
          </cell>
          <cell r="C596" t="str">
            <v>HALL A14 MINOR INTERVENTIONS</v>
          </cell>
          <cell r="U596">
            <v>2</v>
          </cell>
          <cell r="AJ596" t="str">
            <v>SOMBP sent Step 1 to RPN and G&amp;T on 08.04. G&amp;T costed on 16.04. SOMBP cpmmsnted on 24.04. G&amp;T recosted on 28.04. SOMBP uploaded on 28.04. SHP to issue. Sent on signature on 29.04.
RPN didn't issue Step 2.
SHP issued Step 3. RPN issue com proposal on 27.05. SOMBP to advise the option - opeion 1 on 02.06. confirmed. G&amp;T sent cost assessment on 13.06. RPN reponded on 17.06. G&amp;T replied on 18.06. RPN reponded on 23.06. G&amp;T cost AGREED on 23.06. G&amp;T sent final cost to SHP on 23.06. G&amp;T responded to Alex email from 24.06 on 24.06. SHP to issue. Snet on signature on 25.06.</v>
          </cell>
        </row>
        <row r="597">
          <cell r="A597" t="str">
            <v>R-VAR-0586</v>
          </cell>
          <cell r="C597" t="str">
            <v>Bldg B Library move out (43 lkm)</v>
          </cell>
          <cell r="U597">
            <v>2</v>
          </cell>
          <cell r="AJ597" t="str">
            <v>Marina drafted Step 1 on 05.05. G&amp;T costed and recosted on 08.05. SHP to issue. Sent on signature on 19.05.
RPN issued Step 2. Cost meeting on 26.06. 
SHP issued Step 3.
RPN revised the cost on 01.07. Cost meeting on 01.07. RPN revised cost on 02.07. SHP to issue step 4. Sent on signature on 23.07.
04.09.2025 SHP to isseu Step 4 rev 1 with Annexes.</v>
          </cell>
        </row>
        <row r="598">
          <cell r="A598" t="str">
            <v>R-VAR-0585</v>
          </cell>
          <cell r="C598" t="str">
            <v>AHU 137-10 ATELIER REPLACEMENT</v>
          </cell>
          <cell r="U598">
            <v>3</v>
          </cell>
          <cell r="AJ598" t="str">
            <v>SOMBP to draft. RPN looks for suitable product. Step 1 sent to G&amp;T on 19.05. G&amp;T costed on 21.05. SOMBP commented on 22.05. G&amp;T to recost - first SOMBP to respond to G&amp;T eamil on 22.05 - done on 23.05. G&amp;T recosted on 23.05. SOMBP commented on 23.05. G&amp;T recosted on 04.06. SOMBP uploaded on 05.06. Ok by Alex on 12.06. SHP to issue. Sent on signature on 17.06.
RPN didn't issue Step 2.
SHP issued Step 3. RPN issued com proposal on 04.09.2025. G&amp;T assessed on 25.09. G&amp;T to DETERMINE per Marina's email from 26.11. RPN replied on 27.11. with cost clarifications. G&amp;T assessed on 10.12. RPN responded on 19.02. G&amp;T to reply,</v>
          </cell>
        </row>
        <row r="599">
          <cell r="A599" t="str">
            <v>R-VAR-0587</v>
          </cell>
          <cell r="C599" t="str">
            <v>THS MEP changes</v>
          </cell>
          <cell r="U599">
            <v>2</v>
          </cell>
          <cell r="AJ599" t="str">
            <v>Samuel drafted on 17.04. Youssef commented on 17.04. Sam to finalise. Sent on signature on 29.04.
RPN didn't issue Step 2.
SHP issued Step 3. MEP to send 20.06. RPN issued com proposal on 15.07. RPN issued 1 drawing on 13.08. SHP/YOM to review the drawing - done on 26.08. Design approved with comments.
G&amp;T commented com porposal on 19.08. RPN to recost and share design with Clare - cost sent on 17.10 but without EggTelsa. G&amp;T to check. RPN to recieve a full quotation including EggT. still missing. Mechanical scope to be revised, based on new drawings. Clare to contact Youssef and have the info by 24.10. No formal revision of Step 3 before scope change. G&amp;T assessment sent on 24.10. RPN replied on 10.11 with cost split proposal. G&amp;T replied on 14.11. RPN responded on 25.11. G&amp;T proposed meeting on 27.01 - RPN sent EggTelsa part on 04.02. G&amp;T proposed cost split on 12.02. SHP to review - PAF oked on 17.02. Alex oked on 18.02. G&amp;T shareed on 23.02. RPN replied on 27.02. G&amp;T to reply.</v>
          </cell>
        </row>
        <row r="600">
          <cell r="A600" t="str">
            <v>R-VAR-0588</v>
          </cell>
          <cell r="C600" t="str">
            <v>BLDG A EMERGENCY LIGHTING</v>
          </cell>
          <cell r="U600">
            <v>3</v>
          </cell>
          <cell r="AJ600" t="str">
            <v>Cedric E to draft. Done and sent on 17.04 and revised scope on 08.05. G&amp;T costed on 08.05. SOMBP uploaded on 09.05. SHP to issue. Sent on signature on 16.05.
RPN didn't issue Step 2.
SHP issued Step 3. RPN issued com proposal on 09.07. G&amp;T Step 3 issued 06/08, RPN cost AGREED on 06.08. G&amp;T sent final cost files to SHP on 12.08. SHP to issue. G&amp;T corrected cost file per Alex email from 13.08 on 20.08. Patrick F oked on 22.08. G&amp;T replied about MEP scope per Marina's email from 21.08. Cedric E/SOMBP commented on 22.08. G&amp;T to revise the cost - done on 16.09. RPN responded on 17.12. G&amp;T replied on 14.01. RPN responded on 20.01. G&amp;T replied on 17.01. RPN replied on 30.01. G&amp;T cost AGREED on 24.02. SHP to issue. Sent on signature on 04.03.</v>
          </cell>
        </row>
        <row r="601">
          <cell r="A601" t="str">
            <v>R-VAR-0589</v>
          </cell>
          <cell r="C601" t="str">
            <v>ASSEMBLY HALL DOOR MODIFICATIONS</v>
          </cell>
          <cell r="AJ601" t="str">
            <v>SOMBP sent Step 1 to RPN and G&amp;T on 16.04. G&amp;T costed on 07.06. first SOMBP replied to Calum question from/on 07.05. G&amp;T checked the cost per Wolfgagn email from/on 09.05. SOMBP uploaded on 12.05. Add note with open proposal for cost share - from Dominic - done on 16.05. Sent on signature on 21.05. Step 1 issued.
RPN didn;t issue Step 2.
SOMBP to revise the scope - buton is added - done on 21.05. G&amp;T recosted on 21.05. SOMBP to revise the scope again per RPN/Kiara email from 28.05 - not needed per email from Wolfgang/SOMBP on 02.06. SHP issued Step 3. NO need for scope revision due to INS 336 revision. 
RPN issued com proposal on 09.07.2025. G&amp;T commented on 20.08. RPN responded on 16.02. G&amp;T replied on 25.02. RPN responded on 04.03. G&amp;T to reply.</v>
          </cell>
        </row>
        <row r="602">
          <cell r="A602" t="str">
            <v>R-VAR-0590</v>
          </cell>
          <cell r="C602" t="str">
            <v>BLDG B FLS CHANGES</v>
          </cell>
          <cell r="AJ602" t="str">
            <v>SOMBP sent VAR and SubSet 468 on 09.05. SOMBP advise on coordination with Oxireduct and Watermist, present drawings - Dominic responded on 15.05. SOMBP sent Step 1 to G&amp;T on 22.05. G&amp;T costed on 17.06. SOMBP replied per Clare's email from 16.06 on 17.06. G&amp;T recosted on 18.06. SOMBP uploaded to PMWeb on 18.06. SHP to issue - Alex oked on 19.06. SOMBP to revise SubSet - meeting on 20.06, revised info on 23.06 sent to G&amp;T. G&amp;T recosted on 01.07. SOMBP uploaded rev.1 on 03.07. SHP to issue step 1.
RPN didn't issue Step 2.
SHP issued Step 3. RPN to issue com proposal. SOMBP to confirm permanent loss of shelving.</v>
          </cell>
        </row>
        <row r="603">
          <cell r="A603" t="str">
            <v>R-VAR-0591</v>
          </cell>
          <cell r="C603" t="str">
            <v>Council Chamber corridor ceiling L2</v>
          </cell>
          <cell r="AJ603" t="str">
            <v>SOMBP sent draft on 28.05. G&amp;T costed on 02.06. SOMBP commented cost on 02.06. G&amp;T recosted on 02.06. SOMBP uploaded on 02.06. SOMBP to check cost split per Marina's email from 02.06. 18.06.2025 - SOMBP proposal to split cost 50/50 and RPN can make contrpoposal. SHP/MAX - we can avoid to paint the part hided by the lamps, we reinstall the same. G&amp;T updated cost file on 23.06. SOMBP to upload. SHP to issue Step 1. 
RPN issued step 2
SOMBP sent markups to RPN on 23.07. SOMBP &amp; RPN did onsite walk on 24.07 and finalised the scope. SOMBP to isseu scope revision - sent to SHP/Max on 29.07, Max oked on 29.07, recieved from SOMBP on 29.07.
RPN issued revised com proposal. SHP/Patrick F provided cost comments on 06.08. SHP issued Step 3 with revised scope in line with revised com proposal. G&amp;T cost AGREED on 21.10. G&amp;T sent final cost file to SHP on 21.10. SHP to issue. PAF rejected on 27.10. G&amp;T to revise cost split - email sent to RPN on 07.11. RPN to respond.</v>
          </cell>
        </row>
        <row r="604">
          <cell r="A604" t="str">
            <v>R-VAR-0593</v>
          </cell>
          <cell r="C604" t="str">
            <v>Bldg A Replace the ropes Lift 13A&amp;15 A</v>
          </cell>
          <cell r="AJ604" t="str">
            <v>SHP/Patrick F sent info to Marina to draft var on 07.05. Sent to G&amp;T on 07.05. G&amp;T costed on 08.05. Patrick F oked var on 07.05. SHP to issue. Sent on signature on 09.05.
RPN issued Step 2.
SHP to issue Step 3&amp;4. Sent on signature on 23.05.
On 27.08.2025 - add scope delta from OTIS. RPN submitted summary of the cost on 27.08 and on 23.09. G&amp;T assessed on 25.09. RPN provided OTIS quotes on 25.09. G&amp;T replied on 25.09. G&amp;T sent AGREED cost on 26.09. SHP to issue - confirmed additional scope by KAS on 29.09. Sent on signature on 06.10.</v>
          </cell>
        </row>
        <row r="605">
          <cell r="A605" t="str">
            <v>R-VAR-0594</v>
          </cell>
          <cell r="C605" t="str">
            <v>Bldg AB Salle X - Ceiling repairs</v>
          </cell>
          <cell r="AJ605" t="str">
            <v>Goldleaf paint is peeling in Salle X. Previous agreement between RPN and SHP have costs for peeling paint in rooms split between parties. Hence, it's treated as a VAR and not an NCF. SHP to draft VAR and issue.
SHP to draft Step 1 with Max/Andrea H and split cost 50/50. INS 487 issued to RPN 16.06. RPN uploaded MAS for the works, SHP to check - from Max: The method statment is very light, a meeting to be scheduled, RPN to give information about the expert team who will carry out the works and tech details. MoS appoved. RPN snet description of activities on 08.10. SOMBP to draft a var. SOMBP issued VAR to G&amp;T on 14.10. G&amp;T asked var reason/cost question on 14.10. SOMBP responded on 15.10. G&amp;T costed on 05.11. G&amp;T sent to SOMBP. SOMBP uploaded on 07.11. PAF oked on 12.11. G&amp;T recosted mobile tower on 12.11. SHP to issue. Sent on signature on 12.11.
RPN didn't issue Step 2.
SHP issued Step 3. RPN issued com propoG&amp;T sent reply to RPN on cost split on 16.01. RPN - keep it on GMP and split 50/50 on 20.01. G&amp;t issued cost AGREEMENT on 22.01. SHP to issue. Sent on signature on 26.01.</v>
          </cell>
        </row>
        <row r="606">
          <cell r="A606" t="str">
            <v>R-VAR-0595</v>
          </cell>
          <cell r="C606" t="str">
            <v>Bldg A L08 sliding doors related works and L05 floor finish change</v>
          </cell>
          <cell r="AJ606" t="str">
            <v>SHP to issue. DayWork RFI. Sent on signature on 16.05.</v>
          </cell>
        </row>
        <row r="607">
          <cell r="A607" t="str">
            <v>R-VAR-0596</v>
          </cell>
          <cell r="C607" t="str">
            <v>Bldg A - L02 - A 228/270 ceiling anf access hatches</v>
          </cell>
          <cell r="AJ607" t="str">
            <v>SHP to issue. DayWork RFI. Marina drafted on 22.05. Sent on signature on 26.05.</v>
          </cell>
        </row>
        <row r="608">
          <cell r="A608" t="str">
            <v>R-VAR-0597</v>
          </cell>
          <cell r="C608" t="str">
            <v>BLDG C SECURITY THERMAL CAMERA POWER SUPPL</v>
          </cell>
          <cell r="AJ608" t="str">
            <v>SHP DayWork RFI drafted on 16.06. SHP to issue. Sent on signature on 18.09.</v>
          </cell>
        </row>
        <row r="609">
          <cell r="A609" t="str">
            <v>R-VAR-0598</v>
          </cell>
          <cell r="C609" t="str">
            <v>BUILDING A_ AH/1 AND AH/4 WOODEN DOUBLE DOORS HS 23.2</v>
          </cell>
          <cell r="AJ609" t="str">
            <v>SHP DayWork RFI drafted on 18.06. SHP to issue. Sent on signature on 18.06.</v>
          </cell>
        </row>
        <row r="610">
          <cell r="A610" t="str">
            <v>R-VAR-0599</v>
          </cell>
          <cell r="C610" t="str">
            <v>DESCOPE OF SECOND FEED</v>
          </cell>
          <cell r="AJ610" t="str">
            <v>SHP/SOMBP Tech meeting on 15.05. SOMBP drafted on 19.05. G&amp;T costed on 04.06. SOMBP commented on 04.06. G&amp;T replied on 04.06. SOMBP uploaded on 05.06. SHP to issue. Sent on signature on 12.06. RPN didn't issue Step 2. SHP issued Step 3 09.07. RPN to submit commercial proposal - still not recieved. G&amp;T issued cost DETERMINATION on 15.10. SHP to issue. Sent on signature on 17.10.</v>
          </cell>
        </row>
        <row r="611">
          <cell r="A611" t="str">
            <v>R-VAR-0600</v>
          </cell>
          <cell r="C611" t="str">
            <v>Bldg C restauration miroir Kasskoff (Salon Francais)</v>
          </cell>
          <cell r="AJ611" t="str">
            <v>SHP drafted Step 1 on 16.05. Patrick F oked ext f on 16.05 adn Zeynep on 19.05. G&amp;T costed on 21.05. SHP to issue. Sent on signature on 22.05.
RPN didn't issue Step 2.
SHP issued Step 3. RPN issued com proposal on 28.08.2025. SHP/ZEO commented on 01.09. G&amp;T assessed on 02.09. RPN responded on 02.09. Meeting SHP/RPN on 04.09. RPN recosted on 03.10. G&amp;T cost AGREED on 03.10. G&amp;T sent to SHP final cost file on 07.10. SHP to issue. Sent on signature on 09.10.
Per RPN request on 20.01.2026 cost to be allocated to GMP. SHP to issue.  Sent on signature on 16.01.</v>
          </cell>
        </row>
        <row r="612">
          <cell r="A612" t="str">
            <v>R-VAR-0601</v>
          </cell>
          <cell r="C612" t="str">
            <v>PROJECT DIAGNOSTIC - PROPOSAL FOR PHASE 5 LEAN SUPPORT</v>
          </cell>
          <cell r="AJ612" t="str">
            <v>G&amp;T costed on 21.05, SHP/Alex sent comments on 22.05. G&amp;T recosted. SHP commented cost on 26.05. SHP drafted Step 1 on 23.06. SHP to issue. Sent on signature on 30.06.
RPN issued Step 2.
G&amp;T assessed on 22.09. SHP issued Step 3. RPN replied to G&amp;T on 03.10. RPn updated cost on 10.10. G&amp;T cost AGREED on 15.10. G&amp;T sent cost file on 14.10. SHP to issue.</v>
          </cell>
        </row>
        <row r="613">
          <cell r="A613" t="str">
            <v>R-VAR-0592</v>
          </cell>
          <cell r="C613" t="str">
            <v>Recovery of Energy Consumption 4</v>
          </cell>
          <cell r="AJ613" t="str">
            <v>Marina drafted Step 1 on 01.05.2025. SHP to issue. First RPN to provide meter readings per Alex email from 02.05 - don eon 8.05. SHP to issue. Sent on signature on 17.06.
RPN didn't issue Step 2.
SHP issued Step 3. SHP change to May 2025 and issue new one - Alex confirmed per Marina's email from 12.08.
RPN to issue com proposal.</v>
          </cell>
        </row>
        <row r="614">
          <cell r="A614" t="str">
            <v>R-VAR-0603</v>
          </cell>
          <cell r="C614" t="str">
            <v>Bldg A Re-Testing OIBT</v>
          </cell>
          <cell r="AJ614" t="str">
            <v>SHP to draft Step 1. SHP to ok text - Benoit rejected on 21.05. Sent to G&amp;T on 23.05. G&amp;T costed on 27.05. Patrick F oked on 27.05. SHP/Patrick F commented cost on 27.05. G&amp;T recosted on 28.05. SHP to issue. Sent on signature on 28.05.
RPN issued Step 2.
SHP/Patrick F provided cost cup to G&amp;T/Clare on 12.06. G&amp;T assessed the cost on 13.06. Cost AGREEMENT on 13.06. SHP to issue Step 3&amp;4. Sent on signature on 17.06.</v>
          </cell>
        </row>
        <row r="615">
          <cell r="A615" t="str">
            <v>R-VAR-0604</v>
          </cell>
          <cell r="C615" t="str">
            <v>BLDG C PRESS BAR COUNTER TOP</v>
          </cell>
          <cell r="AJ615" t="str">
            <v>SOMBP drafted Step 1 on 21.05. G&amp;T costed on 02.06. SOMBP uploaded on 02.06. SHP to issue. Sent on signature on 11.06.
RPN didn't issue Step 2.
SHP to issue Step 3. RPN to issue com proposal - still not recieved. G&amp;T issued cost DETERMINATION on 15.10. SHP to issue. Sent on signature on 17.10.
Cost proposal recieved from RPN on 19.02.2026. SOMBP commented on 24.02. G&amp;T to review.</v>
          </cell>
        </row>
        <row r="616">
          <cell r="A616" t="str">
            <v>R-VAR-0602</v>
          </cell>
          <cell r="C616" t="str">
            <v>Descope S2 basement SSS Dojo etc as SAFI stays in place</v>
          </cell>
          <cell r="AJ616" t="str">
            <v>awaits SAFI discussion finalisation - tentative Setp 2025.</v>
          </cell>
        </row>
        <row r="617">
          <cell r="A617" t="str">
            <v>R-VAR-0605</v>
          </cell>
          <cell r="C617" t="str">
            <v>Bldg D LB1 Cable Containment</v>
          </cell>
          <cell r="AJ617" t="str">
            <v>SOMBP sent draft on 29.05. Clare sent questions on 17.06. SOMBP replied on 18.06.  G&amp;T costed on 18.06. SOMBP uploaded on 26.06. SHP to issue. Sent on signature on 30.06.
RPN didn't issue Step 2.
SHP issued Step 3. RPN issued com proposal on 28.09.2025. SOMBP to clarify additional scope from RPN per clare's email from 16.09 - completed on 22.09. Clare sent one more question on 23.09 - SOMBP replied on 23.09. G&amp;T assessed cost on 25.09. RPN proposed to revise VAR 488 which is accepted and consequitively cable containement in this VAR needs to be omited. RPN sent cost revision on 27.01. 2026. G&amp;T replied on 09.02. RPN cost AGREED on 10.02. G&amp;T issued final cost file on 11.02. SOMBP to revise scope? SOMBP sent scope comments to G&amp;T on 23.02. G&amp;T to review the cost.</v>
          </cell>
        </row>
        <row r="618">
          <cell r="A618" t="str">
            <v>R-VAR-0606</v>
          </cell>
          <cell r="C618" t="str">
            <v>Rebalancing of the HVAC in AH</v>
          </cell>
          <cell r="AJ618" t="str">
            <v>SHP drafted Step 1 on 27.05. Patrick checked on 11.06. Sent to G&amp;T on 11.06. G&amp;T costed on 13.06. Patrick F oked cost on 13.06. SHP to issue. Sent on signature on 17.06.
RPN didn't issue Step 2.
SHP to issue Step 3. RPN to issue com proposal. RPN issued commercial porposal on 10.07. G&amp;T assessed on 29.07. RPN responded on 29.07. G&amp;T cost AGREED on 30.07. G&amp;T sent final cost to SHP on 30.07. SHP to issue. Sent on signature on 05.08.</v>
          </cell>
        </row>
        <row r="619">
          <cell r="A619" t="str">
            <v>R-VAR-0607</v>
          </cell>
          <cell r="C619" t="str">
            <v>BLDG AB LOCKDOWN CHANGE FOR 2 DOORS</v>
          </cell>
          <cell r="AJ619" t="str">
            <v>Step 1 drafted on 09.06. 2025. SOMBP sent it to G&amp;T on 13.06. G&amp;T costed on 23.07 (target date was 18.07). SOMBP sent comments on 31.07. G&amp;T recosted on 06.08. SOMBP uploaded on 08.08. SHP to issue. G&amp;T corrected the cost per Alex email from 13.08 on 26.08. Sent on signature on 29.08.
RPN didn't issue Step 2.
SHP issued Step 3. RPN issued com porposal on 09.12. SOMBP confirmed added by RPN fire alarm interfaces as needed on 06.01.2026. G&amp;T assessed on 13.01. RPN replied on 24.02. G&amp;T to respond.</v>
          </cell>
        </row>
        <row r="620">
          <cell r="A620" t="str">
            <v>R-VAR-0608</v>
          </cell>
          <cell r="C620" t="str">
            <v>VAR 200 revision AV PENDING ITEMS SALLE XI-XII-XVI</v>
          </cell>
          <cell r="AJ620" t="str">
            <v xml:space="preserve"> RPN sent revised quantities for Salle XVI on 05.06. Wait for Bldg AB SC to close entirely. In parallel G&amp;T to check this scope. G&amp;T sent questions to RPN on 25.06. RPN responded on 26.06. G&amp;T/RPN meeting is needed - done in Sept. RPN sent revised BOQ on 01.09. PAV commented on 11.11. G&amp;T to check quantities - target date 17.11.2025. G&amp;T sent responce to RPN on 25.11. PAV replied to Clare on 02.11 with comments. G&amp;T to update cost with PAV comments - done on 09.12. RPN to respond - call G&amp;T and 3P - done on 15.12. G&amp;T replied on 15.12. RPN responded on 16.12. PAV sent comments on 14.01. SHP/PAV sent comment on 14.01. G&amp;T replied on 14.01. RPN cost agreed on 15.01. G&amp;T issued cost file to SHP on 15.01. SHP to issue. Meeting with G&amp;T on 05.02. G&amp;T to review the cost.</v>
          </cell>
        </row>
        <row r="621">
          <cell r="A621" t="str">
            <v>R-VAR-0609</v>
          </cell>
          <cell r="C621" t="str">
            <v>VAR 216 revision PENDING ITEMS ASSEMBLY HALL</v>
          </cell>
          <cell r="AJ621" t="str">
            <v>RPN sent revised quantities. G&amp;T/RPN meeting is needed - done in Sept. RPN sent revised BOQ on 01.09. PAV commented on 11.11. G&amp;T checked quantities and sent on 17.11. RPN replied on 25.11. Clarification from PAV is needed per Clare's reminder on 25.11. G&amp;T replied on 02.12. RPN to respond - call G&amp;T and 3P - sent revision on 15.12. G&amp;T replied on 15.12. RPN responded on 15.12. G&amp;T cost AGRED on 14.01. G&amp;T sent final cost file to SHP on 15.01. SHP to issue. Meeting with G&amp;T on 05.02. G&amp;T to review the cost.</v>
          </cell>
        </row>
        <row r="622">
          <cell r="A622" t="str">
            <v>R-VAR-0610</v>
          </cell>
          <cell r="C622" t="str">
            <v>BLDG B ARCH-ELEC-FLS AMENDMENTS</v>
          </cell>
          <cell r="AJ622" t="str">
            <v>SOMBP drafted Step 1 on 20.06. G&amp;T sent scetches request on 24.06. SOMBP replied on 26.06. G&amp;T requested arch annex on 01.07. SOMBP shareed on 02.07. G&amp;T costed on 29.07. SOMBP uploaded on 04.08. SHP to issue. Sent on signature on 08.08 - stopped. SHP/Sam cheking DB19 location in Front of House corridor tech meeting on 13.08 - now SOMBP to check this change with AECOM and RPN and revise var if needed - explanation sent by Bob on 18.08. SHP/SAW confirmed to move on 18.08.2025, SOMBP requested PMI. SHP internal meeting on 20.08.2025 - removed arch doors for DB19. SHP to issue. Sent on signature on 21.08.
RPN didn't issue Step 2.
SHP issued Step 3. RPN to issue com proposal. RFI to rellocate the panel may come from RPN.</v>
          </cell>
        </row>
        <row r="623">
          <cell r="A623" t="str">
            <v>R-VAR-0612</v>
          </cell>
          <cell r="C623" t="str">
            <v xml:space="preserve">VAR 173 revision Overall Broadcast (broadcast, lighting and services included) </v>
          </cell>
          <cell r="AJ623" t="str">
            <v>RPN sent revised scope on 14.07.2025. SHP/PAV provided comments on 01.09.2025. G&amp;T commented cost on 21.10. SHP/RPN/G&amp;T meeting on 29.10. RPN revised the cost on 30.10. G&amp;T responded on 31.10 and checked the breakdown of the lump sum from PXT in VAR168 - the lump sum in VAR 168 was for the racks/ cabinets and did not include the omission of equipment, which RPN have now included in the cost of VAR 612. RPN cost AGREED on 04.11. SHP/Patrick V confirmed the cost on 07.11. G&amp;T issued cost file on 17.11. SHP to issue. Sent on signature on 10.12.</v>
          </cell>
        </row>
        <row r="624">
          <cell r="A624" t="str">
            <v>R-VAR-0611</v>
          </cell>
          <cell r="C624" t="str">
            <v>BLDS A, AB, B &amp; C WINDOW FRAMES</v>
          </cell>
          <cell r="AJ624" t="str">
            <v>SOMBP to draft Step 1. Issued INS with design. VAR sent to G&amp;T on 04.07, AB windows added by SOMBP on 16.07. G&amp;T costed on 23.07. SOMBP uploaded on 06.08. G&amp;T update provided 12/08. SOMBP sent cost comments on 14.08. G&amp;T recosted on 20.08. SOMBP sent comments on 21.08. G&amp;T recosted on 22.08. SOMBP uploaded on 26.08. SOMBP confirmed external blinds interface as separate var VAR 626 on 26.08.2025. First G&amp;T recosted on 29.08. SHP to issue - Alex to check int Form - done on 08.09. Sent on signature on 08.09. SHP revised IntForm, G&amp;T revised pricing doc on 24.09. Sent on signature on 24.09.
RPN didn't issue Step 2.
SHP issued Step 3. RPN issued com proposal on 15.01.2026. G&amp;T assessed on 28.01. RPN replied on 02.02 including C. G&amp;T responded on 06.03. RPN replied on 10.03. G&amp;T to reply.</v>
          </cell>
        </row>
        <row r="625">
          <cell r="A625" t="str">
            <v>R-VAR-0613</v>
          </cell>
          <cell r="C625" t="str">
            <v>Replacement of lighting fixtures in Bldgs B and S2 STUDY and design</v>
          </cell>
          <cell r="AJ625" t="str">
            <v>07.14: VAR to be issued after RPN feedback on INS 497 (CDP) - RPN to provide tech analysis.
Step 1 drafted on 14.08. Sent to G&amp;T on 18.08. G&amp;T to cost - target date 05.09.2025, done on 16.09.2025. SHP to issue. Sent on signature on 18.09.
RPn didn't issue Step 2.
SHP issued Step 3. RPN sent proposal for FOH/BOH proposal on 23.01.2026. First RPN to send SHP a quote for replacing all the lighting fixtures in sections B and S2 with LED ones - done on 03.03. SHP - for S2 - ful scope. Design will be added to this var, construction to var 653. for B - cost still awaited from RPN.</v>
          </cell>
        </row>
        <row r="626">
          <cell r="A626" t="str">
            <v>R-VAR-0614</v>
          </cell>
          <cell r="C626" t="str">
            <v>Temporary chiller</v>
          </cell>
          <cell r="AJ626" t="str">
            <v>SHP drafted step 1 per Patrick F email from 13.06 on 13.06. G&amp;T costed on 20.06. SHP to issue. Sent on signature on 25.06. 
RPN isued step 2 on 03.07. 
SHP issued Step 3 on 09.07. G&amp;T sent cost assessment on 07.07. RPN responded on 18.07. G&amp;T cost AGREED on 22.07. Sent to SHP on 22.07. SHP to issue. Sent on 29.07.</v>
          </cell>
        </row>
        <row r="627">
          <cell r="A627" t="str">
            <v>R-VAR-0615</v>
          </cell>
          <cell r="C627" t="str">
            <v>BLDG B ASC20 REPLACEMENT</v>
          </cell>
          <cell r="AJ627" t="str">
            <v>SOMBP to draft +/- 18.07, sent on 18.07. G&amp;T costed on 04.08. SOMBP uploaded on 05.08. G&amp;T revised cost on 06.08. SHP to issue - discuss scope and cost with SOMBP/G&amp;T/SHP done on 07.08. SOMBP sent scope clarifications on 12.08. Otis is off till the end of August. SOMBP to expand the scope, add requirement for big lift providers - target date mid September 2025. SOMBP to mark demo drawings with related areas on hold due to this var. SOMBP snet a revised scope after OTIS visit on site on 18.09.2025. G&amp;T recosted on 14.10. SOMBP provided comments on 17.10. G&amp;T recosted on 17.10. SOMBP uploaded on 17.10. SHP to issue.
RPN didn't issue Step 2.
SHP issued Step 3. RPN to issue com porposal.</v>
          </cell>
        </row>
        <row r="628">
          <cell r="A628" t="str">
            <v>R-VAR-0617</v>
          </cell>
          <cell r="C628" t="str">
            <v>Descope of lifts points integrated with BMS</v>
          </cell>
          <cell r="AJ628" t="str">
            <v>SOMBP sent Step 1 to G&amp;T on 25.07. SOMBP provided reply to G&amp;T/Clare email from 20.08. G&amp;T costed on 20.08. SOMBP uploaded on 21.08. SHP to issue. Sent on signature on 26.08.2025.
RPN issued Step 2.
SOMBP to reply (RPN needs to prove points installation - to disucss in Tech meeting on 16.09.2025) - done on 24.09. Marina drafted Step 3 text on 24.09. SOMBP confirmed on 25.09. SHP to issue.
Miting on scope on 14.01.2026. G&amp;T issued determination 5 points per lift on 14.01. SHP to issue. Sent on signature on 16.01.</v>
          </cell>
        </row>
        <row r="629">
          <cell r="A629" t="str">
            <v>R-VAR-0618</v>
          </cell>
          <cell r="C629" t="str">
            <v>Bldg C Salle 1 Emergency Lighting</v>
          </cell>
          <cell r="AJ629" t="str">
            <v>SHP sent Step 1 on 25.07 to G&amp;T. G&amp;T costed on 20.08.2025. SHP to issue. Sent on signature on 26.08.2025.
RPN issued Step 2.
SHP to comment additional scope for G&amp;T - done on 30.09. G&amp;T assessed on 07.10. SHP issued Step 3. RPN responded on 22.10. G&amp;T sent scope question to SHP on 28.10. SHP/BER replied on 29.10. G&amp;T sent assessment on 29.10. RPN replied on 30.10. G&amp;T cost AGREED on 31.10. SHP to issue. Sent on signature on 06.11</v>
          </cell>
        </row>
        <row r="630">
          <cell r="A630" t="str">
            <v>R-VAR-0616</v>
          </cell>
          <cell r="C630" t="str">
            <v>Compartmentalization adjustment and Watermist</v>
          </cell>
          <cell r="AJ630" t="str">
            <v>SHP/SOMBP to draft. SOMBP provides FLS part per VI 98. SOMBP requested confirmation for one of the option on 12.08 - SHP/SAW confirmed option 1 on 15.08. SOMBP Step 1 draft target date - 22.08.2025 - issued on 26.08. G&amp;T costed on 29.08. SOMBP uploaded on 01.09. SHP to issue. Sent on signature on 08.09.
RPN didn't issue Step 2.
SHP issued Step 3. VAR on hold per INS 552. RPN to issue com proposal.</v>
          </cell>
        </row>
        <row r="631">
          <cell r="A631" t="str">
            <v>R-VAR-0619</v>
          </cell>
          <cell r="C631" t="str">
            <v>Recovery of Energy Consumption 5</v>
          </cell>
          <cell r="AJ631" t="str">
            <v>SHP to draft for June-Dec 2025. RPN provided meter readings per Alex email from 12.12 on 16.12. SHP to issue. Snet on signature on 05.01.
RPN to issue Step 2.
SHP to issue Step 3.</v>
          </cell>
        </row>
        <row r="632">
          <cell r="A632" t="str">
            <v>R-VAR-0620</v>
          </cell>
          <cell r="C632" t="str">
            <v>BookTower Facade</v>
          </cell>
          <cell r="AJ632" t="str">
            <v>PMI 102 SOMBP to submit Step 2. And SHP/JM revised Step 1 issued. SOMBP issued VI 102 Step 2. SHP issued Step 3. If VAR is canceled, the INS will be paid anyway because of drawings issued and RPN will re issue th drawings. Waiting for Heating Analysis study (SOMBP) to take a decision_Target date 27.10. SOMBP uploaded var on PMWeb on 27.10. SHP to confirm by 30.10 - done on 31.10. SOMBP sent scope to RPN and G&amp;T on 03.11. G&amp;T costed on 07.11. SOMBP commented on 07.11. G&amp;T recosted on 10.11. SHP confirmed on 11.11. G&amp;T sent cost to SOMBP on 11.11. SOMBP uploaded on 12.11. SHP to issue. Sent on signature on 17.11.
RPN didn't issue Step 2. Technical part of refurbishment is in discussion 27.11 (365 site visit MoM). SHP discussion on 02.12 - cancell var and keep TD, insulation var should come instead. SOMBP to check 1 glasing option with Geneva autorities. Per site walk on 02.12. SHP sent a letter with 3 options to RPN. RPN to perform 2 mockups with DayWork RFI - INS 540.
SHP issued Step 3. On 18.12.2025 RPN remainded that 30% of materials are paid in Dec.2022. VAR will be revised when mockup approved. Installation of mockup is planned in mid Feb 2026. RPN to submit cost estimate with materials - done on 27.01. G&amp;T sent cost questions on 03.02. RPN to reply.</v>
          </cell>
        </row>
        <row r="633">
          <cell r="A633" t="str">
            <v>R-VAR-0621</v>
          </cell>
          <cell r="C633" t="str">
            <v>BLDG C NODE 5 TOILETS’ DUCTWORK CHANGES</v>
          </cell>
          <cell r="AJ633" t="str">
            <v>Agreed cost fro DAYWORK RFI recieved from G&amp;T on 12.08. SHP/MAC drafted Step 1 on 13.08. SHP to issue. Sent on signature on 15.08.</v>
          </cell>
        </row>
        <row r="634">
          <cell r="A634" t="str">
            <v>R-VAR-0622</v>
          </cell>
          <cell r="C634" t="str">
            <v xml:space="preserve">Bldg A FLS items from site-walks </v>
          </cell>
          <cell r="AJ634" t="str">
            <v>Agreed cost fro DAYWORK RFI recieved from G&amp;T on 12.08. SHP/MAC drafted Step 1 on 13.08. SHP to issue. Sent on signature on 15.08.</v>
          </cell>
        </row>
        <row r="635">
          <cell r="A635" t="str">
            <v>R-VAR-0623</v>
          </cell>
          <cell r="C635" t="str">
            <v>BLDG A MODIFICATION OF EXISTING TABLE SOCKETS SALLE XVI AND ASSEMBLY HALL</v>
          </cell>
          <cell r="AJ635" t="str">
            <v>Agreed cost fro DAYWORK RFI recieved from G&amp;T on 12.08. SHP/MAC drafted Step 1 on 13.08. SHP to issue. Sent on signature on 15.08.</v>
          </cell>
        </row>
        <row r="636">
          <cell r="A636" t="str">
            <v>R-VAR-0624</v>
          </cell>
          <cell r="C636" t="str">
            <v>Bldg C Electrical panel board F15/2</v>
          </cell>
          <cell r="AJ636" t="str">
            <v>SHP to draft. 16.10.2025: to cancell, will be covered with DayWork RFI.</v>
          </cell>
        </row>
        <row r="637">
          <cell r="A637" t="str">
            <v>R-VAR-0625</v>
          </cell>
          <cell r="C637" t="str">
            <v>Bldg C Electrical panel board F15 and cabling replacing</v>
          </cell>
          <cell r="AJ637" t="str">
            <v>Per site walk on 23.07.2025 SHP made a decision to replace elec panel. SOMBP to revise the scope accordinly, RPN to provide details from EggTelsa - SOMBP proposed to keep panel on 30.07. on site meeting on 08.08. Extent of the works is agreed and validated on 12.08, refer to MMs of EL WTM 5.539 for details. RPN to complete and price the document "salle du conseil - F15.xls" - scope from EggTelsa sent on 29.08. G&amp;T cost recieved on 29.08. SOMBP commented scope and requested scope revision from RPN/EggT on 01.09. RPN responded on 01.09. SOMBP shared Step 1 with removed AV power on 02.09 in email and on 04.09 in sharepoint. G&amp;T recosted on 04.09. SOMBP uploaded on 05.09. SHP to issue. Sent on signature on 08.09.
RPN issued Step 2.
SHP issued Step 3.
SOMBP to issue Step 3 with scope addition one box - await RPN details. Scope in discussion with EggTelsa on 24.09 - meeting on 29.09. Scope will go as separate var. RPN sent cost with first and second part of the works on 06.10. SOMBP commented cost on 08.10. SHP to confirm floor boxes per SOMBP email from 09.10 - done by Dragos on 09.10. G&amp;T assessed 2 cost files on 09.10. RPN sent list for the composition of the panel F-15 on 09.10. SOMBP confirmed it on 10.10. RPN to issue all com proposal with third part - done on 17.10. G&amp;T to review. SOMBP to add trench scope (no need for modification, just an SHP confirmation on the number of cables). Check with Lucille, SHP to advise on floor boxes and IT cables CEK - PAV to issue on 20.10. Info received by SOMBP. Awaiting IT question to tbc by PAV on finalisation of scope. Revision by end of 22.10. Step 2 reveiwed by G+T on 21.10, to be updated by RPN. 
RPN submitted TIA on 14.10. SHP to respond - Patrick F oked, Dona issued on 11.11.
Step 3 R1 submitted by SOMBP on 22.10 on PMWeb and shared by mail with RPN. SHP/JM drafted Step 3 rev 2 on 30.10. SHP issued Step 3 rev 2. RPN sent cost reply on 27.10. G&amp;T assessed on 05.11. RPN shared cost on 10.11 with latest rev Step 3 rev 2. G&amp;T replied on 13.11. RPN responded on 20.11 - had a call on 24.11. G&amp;T updated cost on 24.11. RPN responded on 01.12. G&amp;T responded on 04.12 and 05.12. RPN replied on 16.12. G&amp;T sent email on 17.12 - SOMBP to reply. G&amp;T replied to RPN on 23.12 - RPN cost AGREED on 06.01.2026. G&amp;T sent finsl cost files to SHP on 06.01. SHP to issue. Sent on signature on 07.01</v>
          </cell>
        </row>
        <row r="638">
          <cell r="A638" t="str">
            <v>R-VAR-0626</v>
          </cell>
          <cell r="C638" t="str">
            <v>Bldg B External blinds interface</v>
          </cell>
          <cell r="AJ638" t="str">
            <v>Site visit SOMBP/SHP on 28.08.2025. SHP/JM sent email with instructions on 02.09. SOMBP drafted INS 513 Step 1 on 16.09. SHP issued INS 513. RPN sent assessment on 10.11.2025 - (98k CHF + KNX/BMS/ELEC + O&amp;P). SOMBP replied on 17.11. RPN sent fabric option as more expensive than metalic on 01.12. SOMBP to respond. SOMBP replied. RPN proposed metalic blinds. G&amp;T commented RPN/s rates for blinds on 02.01.2026. SHP to provide conclusion to SOMBP to update the VAR - meeting on 18.12. Text drafted by JMF and MAM on 13.01. SHP/ZEO confirmed on 14.01. SHP sent to SOMBP on 15.01. SOMBP shared Step 1 on 19.01. G&amp;T sent a question to SOMBP. SOMBP/G&amp;T call on 26.01. G&amp;T sent cost on 26.01. SOMBP sent cost comments on 28.01. G&amp;T recosted on 28.01. SOMBP uploaded on 28.01. SHP/SOMBP to check the scope for 4 blinds on Lake side to precise the cost - done on 04.02. G&amp;T recosted on 05.02. SOMBP uploaded on 06.02. SHP to issue. Sent on signature on 09.02.
RPN didn't issue Step 2.
SHP issued Step 3. RPN to issue com proposal +/- mid march.</v>
          </cell>
        </row>
        <row r="639">
          <cell r="A639" t="str">
            <v>R-VAR-0627</v>
          </cell>
          <cell r="C639" t="str">
            <v>Bldg AB Evacuation Stairs</v>
          </cell>
          <cell r="AJ639" t="str">
            <v>SOMBP drafted Step 1 on 29.08. INS 503 sent to G&amp;T on 29.08. G&amp;T costed on 04.09. SOMBP uploaded on 04.09. Detailed cost recieved from RPN. SHP to issue. Sent on signature on 08.09. G&amp;T/Clare sent email on 09.09 - SOMBP responded on 19.09. Also SOMBP provided scope comments on 23.09.
RPN issued Step 2.
G&amp;T assessed on 07.01. SOMBP to comment per Marina's email for 01.12 - no responce. RPN replied to G&amp;T on 12.01. G&amp;T responded on 22.01. RPN to reply.
SHP to issue Step 3.</v>
          </cell>
        </row>
        <row r="640">
          <cell r="A640" t="str">
            <v>R-VAR-0628</v>
          </cell>
          <cell r="C640" t="str">
            <v>Bldg C AV pending points for Council Chamber</v>
          </cell>
          <cell r="AJ640" t="str">
            <v>RPN finalised an inventory before SHP can draft Step 1 on 12.11.2025. G&amp;T checked the cost on 24.11.  SHP/PAV checked the scope per Clare's email on 03.12. G&amp;T reshared more comments on 11.12. G&amp;T sent cost file to SHP on 19.12.2025. SHP to issue Step 1 - PAV has comments to the cost file - coordinate G&amp;T/SHP. RPN replied to G&amp;T cost file on 15.01 - cost is close. G&amp;T sent question ot SHP on 20.01 - PAV confirmed on 23.01. G&amp;T replied to RPN on 27.01. RPN responded cost AGREDD on 28.01. G&amp;T shared final cost file with SHP on 29.01. SHP to issue. Sent on signature on 02.02.
04.02.2026 NOD recieved.</v>
          </cell>
        </row>
        <row r="641">
          <cell r="A641" t="str">
            <v>R-VAR-0629</v>
          </cell>
          <cell r="C641" t="str">
            <v>Door C5 cafeteria logistic adjustment (Bldg E catering BC)</v>
          </cell>
          <cell r="AJ641" t="str">
            <v>SHP to draft. Cancelled per DoA decision on 09.01.2026 - no canopy for H and C. Drywall will be covered by DayWork.</v>
          </cell>
        </row>
        <row r="642">
          <cell r="A642" t="str">
            <v>R-VAR-0630</v>
          </cell>
          <cell r="C642" t="str">
            <v>Bldg A Delegate Restaurant Floor finishes</v>
          </cell>
          <cell r="AJ642" t="str">
            <v>SHP/JM drafted Step 1 on 26.09. SHP sent on 26.09. G&amp;T costed on 07.10. - SHP to add the copst split - from Risk pot and issue. SHP to remove from Risk pot.
RPN issued Step 2.27.10.
G&amp;T issued cost revision on 30.10. RPN responded on 03.11. SHP issued Step 3. G&amp;T replied to RPN on 05.11. cost AGREED on 18.11. G&amp;T sent cost files to SHP on 28.11. SHP to issue. Sent on signature on 03.12.</v>
          </cell>
        </row>
        <row r="643">
          <cell r="A643" t="str">
            <v>R-VAR-0631</v>
          </cell>
          <cell r="C643" t="str">
            <v>BLDG C – L00 – Existing Windows Wooden Frame</v>
          </cell>
          <cell r="AJ643" t="str">
            <v>SOMBP sent on 24.09. G&amp;T costed on 07.10. SOMBP commented cost on 15.10. G&amp;T recosted on 22.10. SOMBP uploaded on 23.10. SHP to issue. Sent on signature on 30.10.
RPNdidn't issue Step 2.
SHP issued Step 3. RPN issued com proposal on 05.12. G&amp;T cost AGREED on 05.01.2026. G&amp;T sent final cost file to SHP on 05.01. SHP to issue. Sent on signature on 06.01.</v>
          </cell>
        </row>
        <row r="644">
          <cell r="A644" t="str">
            <v>R-VAR-0632</v>
          </cell>
          <cell r="C644" t="str">
            <v>BLDG A Hall 14 sculpture</v>
          </cell>
          <cell r="AJ644" t="str">
            <v>Cancelled on 17.11.2025. per MAM will be ocvered by DayWork RFI.</v>
          </cell>
        </row>
        <row r="645">
          <cell r="A645" t="str">
            <v>R-VAR-0633</v>
          </cell>
          <cell r="C645" t="str">
            <v>Bldg C Electrical protective devices replacement</v>
          </cell>
          <cell r="AJ645" t="str">
            <v>SOMBP drafted Step 1 on 14.11. G&amp;T costed on 02.01.2026. SOMBP commented cost file on 07.01. G&amp;T recosted on 07.01. SOMBP uploaded on 07.01. SHP to issue. Sent on signature on 21.01.
RPN issued Step 2.
G&amp;T checked on 06.02. RPN to reply - target date 20.02. SHP issued Step 3. 09.03 RPN to issue commercial proposal +/- 10.03 (4k apart)</v>
          </cell>
        </row>
        <row r="646">
          <cell r="A646" t="str">
            <v>R-VAR-0634</v>
          </cell>
          <cell r="C646" t="str">
            <v>Bldg C L00 C.4-2 Storage partition</v>
          </cell>
          <cell r="AJ646"/>
        </row>
        <row r="647">
          <cell r="A647" t="str">
            <v>R-VAR-0635</v>
          </cell>
          <cell r="C647" t="str">
            <v>Bldg B Lv 03 Legal reading room New Staircase</v>
          </cell>
          <cell r="AJ647" t="str">
            <v>SIM/SHP to design stairs.</v>
          </cell>
        </row>
        <row r="648">
          <cell r="A648" t="str">
            <v>R-VAR-0636</v>
          </cell>
          <cell r="C648" t="str">
            <v>Bldg C - Omission of TR223 rack supply</v>
          </cell>
          <cell r="AJ648" t="str">
            <v>SOMBP drafted Step 1 on 04.11. SOMBP added 2nd TR on 07.11. G&amp;T costed on 02.01.2026. SOMBP uploaded on 06.01. SHP to issue. Sent on signature on 09.01.
RPN to issue Step 2.
SHP to issue Step 3.</v>
          </cell>
        </row>
        <row r="649">
          <cell r="A649" t="str">
            <v>R-VAR-0637</v>
          </cell>
          <cell r="C649" t="str">
            <v>Additional transformer MLVB_A</v>
          </cell>
          <cell r="AJ649" t="str">
            <v>to draft.</v>
          </cell>
        </row>
        <row r="650">
          <cell r="A650" t="str">
            <v>R-VAR-0638</v>
          </cell>
          <cell r="C650" t="str">
            <v>Bldg C Missing fire dampers on existing ducts</v>
          </cell>
          <cell r="AJ650" t="str">
            <v>SOMBP to draft. First SOMBP to have a call with RPN/PXT Federica B. per email from SOMBP on 03.11 - the fire dampers are included in the design. Consequently, the VAR may be cancelled, to be confirmed.</v>
          </cell>
        </row>
        <row r="651">
          <cell r="A651" t="str">
            <v>R-VAR-0639</v>
          </cell>
          <cell r="C651" t="str">
            <v>Bldg A External curtains L06</v>
          </cell>
          <cell r="AJ651" t="str">
            <v>SHP/MAC drafted Step 1 based on PAF email from 28.10. on 29.10. G&amp;T costed on 05.11. SHP to issue - first RPN provideed tech details on 07.11. SHP/ZEO confirmed MAS on 14.11. Sent on signature on 19.11.
RPN issued Step 2.
SHP/PAF advised on prelims on 01.12. G&amp;T asserssed on 05.01. RPN cost AGREED on 06.01. G&amp;T sent cost file on 06.01. SHP issued Step 3. SHP to issue Stpe 4. Sent on signature on 09.01.</v>
          </cell>
        </row>
        <row r="652">
          <cell r="A652" t="str">
            <v>R-VAR-0640</v>
          </cell>
          <cell r="C652" t="str">
            <v>Bldg B - Omission of fire dampers</v>
          </cell>
          <cell r="AJ652" t="str">
            <v>Step 1 sent on 17.11. SOMBP to share Step 1 with G&amp;T - not done. SHP shared on 12.12. G&amp;T costed on 06.01. SOMBP uploaded on 09.01. SHP to issue. Sent on sginature on 15.01.
RPN didn't issue Step 2.
SHP to issue Step 3.</v>
          </cell>
        </row>
        <row r="653">
          <cell r="A653" t="str">
            <v>R-VAR-0641</v>
          </cell>
          <cell r="C653" t="str">
            <v>Bldg B -  Heating System Adjustment – Book Storage</v>
          </cell>
          <cell r="AJ653" t="str">
            <v>SHP/YOM drafted on 30.10. SHP sent to G&amp;T on 31.10. G&amp;T costed on 04.11. Youssef commented cost on 06.11. G&amp;T recosted on 10.11. SHP to issue - RPN/FEB confirmed on 12.11 that Energy Managment can do desing of MEP part., other design still to be confirmed by RPN - Jessica confirmed on 19.11. SHP to issue. Sent on signature on 26.11.
First SHP to provide info per RPN/FEB email from 11.12 - done on 15.12.
RPN didn't issue Step 2.
SHP issued Step 3 and add original drawings. RPN issued com proposal on 15.01.2026. SHP/YOM commented on 16.01. G&amp;T design cost AGREED on 27.01. G&amp;T sent final cost to SHP on 27.01. SHP to issue. Sent for signature on 02.02.</v>
          </cell>
        </row>
        <row r="654">
          <cell r="A654" t="str">
            <v>R-VAR-0642</v>
          </cell>
          <cell r="C654" t="str">
            <v>Bldg AC, D, S1, A, AB - Omission of TR rack supply</v>
          </cell>
          <cell r="AJ654" t="str">
            <v>SOMBP drafted Step 1 on 27.11.2025. SHP/DRI commented on 27.11. SOMBP replied on 28.11. SHP replied on 28.11. SOMBP sent revised var on 02.12. G&amp;T costed on 11.12. SOMBP uploaded on 16.12. SHP to issue. Sent on signature on 19.12.
RPN didn't issue Step 2.
SHP to issue Step 3. RPN to issue com proposal.</v>
          </cell>
        </row>
        <row r="655">
          <cell r="A655" t="str">
            <v>R-VAR-0643</v>
          </cell>
          <cell r="C655" t="str">
            <v>VAR 171 rev SMARTLOCKER RELOCATION ENTRANCE S2 AND MULTISENSORY TABLE C6 - DESCOPE except E</v>
          </cell>
          <cell r="AJ655" t="str">
            <v>SHP/MAC drafted Step 1 on 19.11. Cedric E replied on 02.12 confirming no cables. Step 1 sent internally on 02.12. SIM oked on 15.12. SHP shared Step 1 on 15.12. G&amp;T costed on 22.12. SHP to issue. Sent on signature on 05.01.
RPN didn't issue Step 2.
SHP issued Step 3. RPN to issue com proposal.</v>
          </cell>
        </row>
        <row r="656">
          <cell r="A656" t="str">
            <v>R-VAR-0644</v>
          </cell>
          <cell r="C656" t="str">
            <v>Bldg C Fire closures</v>
          </cell>
          <cell r="AJ656" t="str">
            <v>DayWork 1468 related to INS 518 not issued by RPN. Instead SOMBP drafted per PM meeting on 20.11.2025 a Step 1 on 27.11 with 50/50 cost split and cup of 30k CHF. G&amp;T costed on 08.12. SOMBP sent cost comments to G&amp;T on 09.12 and SHP/JMF sent on 10.12. meetings is on 11.12. G&amp;T updated cost on 11.12. SOMBP uploaded on 11.12. SHP to issue - first G&amp;T corrected formula on 18.12. Sent on signature on 19.12.
RPN didn't issue Step 2.
SHP issued Stpe 3. RPN issued com proposal on 21.01. Possible 2 more similar issues on Lv 01 - RPN to confirm with SBIS. G&amp;T cost AGREED on 27.01. SHP to issue. Sent on signtature on 02.02.</v>
          </cell>
        </row>
        <row r="657">
          <cell r="A657" t="str">
            <v>R-VAR-0645</v>
          </cell>
          <cell r="C657" t="str">
            <v>Bldg B Lvl 01 Main reception entrance doors and glazed fire wall</v>
          </cell>
          <cell r="AJ657" t="str">
            <v>SHP/SAW drafted Step 1 on 18.12. Sent to G&amp;T on 19.12. G&amp;T costed on 9.01.2026. SHP to issue. Cost meeting on 12.01 - G&amp;T revised the cost on 12.01. SHP to issue. Mockup cost added by g&amp;T/CAR on 16.01. SHP to issue. Sent on signture on 19.01.
RPN issued Step 2.
G&amp;T/SHP call on 03.02. G&amp;T assessed on 04.02. SHP issued Step 3. RPN replied to G&amp;T on 10.02. G&amp;T sent question to SHP on 10.02. RPN/SHP to align on the Scope of the mockup - done. RPN updated the pricing of final mockup - for the door node and for the surrounding frame + glass structure (façade) on 04.03. G&amp;T cost AGREED on 10.03. G&amp;T to send final file to SHP.</v>
          </cell>
        </row>
        <row r="658">
          <cell r="A658" t="str">
            <v>R-VAR-0646</v>
          </cell>
          <cell r="C658" t="str">
            <v xml:space="preserve">Bldg C MAINTENANCE SERVICES OF THE LIFTS </v>
          </cell>
          <cell r="AJ658" t="str">
            <v>SHP/JAF drafted Step 1 on 12.11. (cost to be recovered from FMS). PAF checked on 17.12. Neil oked on 17.12. Marina clarified question of Clare on 08.01. G&amp;T costed on 22.01. SHP to issue. Sent on signature on 26.01.
RPN to issue Step 2. SHP to wait for cost proposal first.</v>
          </cell>
        </row>
        <row r="659">
          <cell r="A659" t="str">
            <v>R-VAR-0647</v>
          </cell>
          <cell r="C659" t="str">
            <v>Bldg C IT and power sockets modification Press Bar</v>
          </cell>
          <cell r="AJ659" t="str">
            <v>SOBP/CEE to draft. First SHP/JM provided tech details on 03.12.2025. CEE send more clarifications on 04.12 - JMF to respond. SOMBP sent Step 1 on 10.12. SOMBP provided responce to G&amp;T on 18.12 and 19.12. G&amp;T costed on 22.12. SOMBP uploaded on 06.01. G&amp;T corrected cost file per Marina's email from 06.01. SOMBP reuploaded package on 07.01. SHP to issue - internal confirmation is needed why so many power sockets are needed - JM will revise the scope with SOMBP - sent on 07.01. SOMBP revised scope on 07.01. G&amp;T recosted on 08.01. SOMBP reuploaded on 08.01. SHP to issue. Sent on signature on 09.01.
RPN didn't issue Step 2.
SHP issued Step 3. RPN issued com proposal on 19.02. G&amp;T assessed on 06.03. RPN to reply.</v>
          </cell>
        </row>
        <row r="660">
          <cell r="A660" t="str">
            <v>R-VAR-0648</v>
          </cell>
          <cell r="C660" t="str">
            <v>PROJECT DIAGNOSTIC - PROPOSAL FOR PHASE 6 LEAN SUPPORT</v>
          </cell>
          <cell r="AJ660" t="str">
            <v>SHP/MAC drafted Step 1 on 04.12. G&amp;T costed on 12.12, G&amp;T corrected cost files per Alex request on 12.12. SHP to issue. Sent on signature on 16.12.
RPN issued Step 2.
G&amp;T assessed on 04.03. SHP issued Step 3. RPN replied on 06.03 to G&amp;T. G&amp;T cost AGREED on 10.03. G&amp;T to send final cost file to SHP.</v>
          </cell>
        </row>
        <row r="661">
          <cell r="A661" t="str">
            <v>R-VAR-0649</v>
          </cell>
          <cell r="C661" t="str">
            <v>MEDIA CENTER AREA C.2.3 – FIBER DISTRIBUTION</v>
          </cell>
          <cell r="AJ661" t="str">
            <v>SHP drawted Step 1 on 05.01. G&amp;T costed on 09.01. PAV send cos from Sub on 12.01 and oked the cost from G&amp;T. G&amp;T adjusted the cost on 13.01. SHP to issue. Sent on signature on 15.01.
RPN didn't issue Step 2.
SHP issued Step 3. RPN to issue com porposal with options - target date 20.02 (IT coordination). Technical discussion about second converter with PAV - check with PAV if the scope should be revised - seems all included in Step 1. 09.03 RPN to issue commercial proposal +/- 10.03
RPN sent TIA on 09.03.2026. SHP to analyse.</v>
          </cell>
        </row>
        <row r="662">
          <cell r="A662" t="str">
            <v>R-VAR-0650</v>
          </cell>
          <cell r="C662" t="str">
            <v>Bldg B FLS update L00, L04 and L05</v>
          </cell>
          <cell r="AJ662" t="str">
            <v>SHP provided decision. SOMBP drafted on 02.02. G&amp;T costed on 19.02. SOMBP sent comments on 26.02. G&amp;T recosted on 27.02. SOMBP uploaded on 27.02. SHP to issue. Sent on signture on 04.03. 09.03 RPN to issue step 2</v>
          </cell>
        </row>
        <row r="663">
          <cell r="A663" t="str">
            <v>R-VAR-0651</v>
          </cell>
          <cell r="C663" t="str">
            <v>Bldg C SSS village temporary power supply</v>
          </cell>
          <cell r="AJ663" t="str">
            <v>SHP/BER drafted it on 26.01. Sent to G&amp;T on 26.01. G&amp;T to cost - questions sent on scope on 26.01 - SHP replied on 27.01. G&amp;T sent cost on 27.01. SHP commented on 27.01. G&amp;T recosted on 27.01. SHP to issue. Sent on signature on 29.01.
RPN didn't issue Step 2.
SHP issued Step 3. RPN issued com proposal on 11.02. SHP/BER commented on 12.02 - SHP requested to reuse the existing cable, RPN is porposing to pull a new one, cost should be revised. G&amp;T assessed on 17.02. RPN replied on 24.02. RPN to check why the cable is passing via Bldg C. 09.03 RPN submitted clarifications, G&amp;T sent question on scope to SHP on 10.03. SHP to reply.</v>
          </cell>
        </row>
        <row r="664">
          <cell r="A664" t="str">
            <v>R-VAR-0652</v>
          </cell>
          <cell r="C664" t="str">
            <v>Bldg C L00 Heritage double doors demolished</v>
          </cell>
          <cell r="AJ664" t="str">
            <v>SOMBP drafted Step 1 on 03.03.2026. G&amp;T to cost.</v>
          </cell>
        </row>
        <row r="665">
          <cell r="A665" t="str">
            <v>R-VAR-0653</v>
          </cell>
          <cell r="C665" t="str">
            <v>Replacement of lighting fixtures in Bldg S2 Works</v>
          </cell>
          <cell r="AJ665" t="str">
            <v>to decide on the way forward. 09.03: S2 - go with full change. B make a separate var. VAR drafted by SHP, sent to G&amp;T on 10.03. G&amp;T to cost.</v>
          </cell>
        </row>
        <row r="666">
          <cell r="A666" t="str">
            <v>R-VAR-0654</v>
          </cell>
          <cell r="C666" t="str">
            <v xml:space="preserve">Var 478 rev Descope meeting Rooms AV equipment </v>
          </cell>
          <cell r="AJ666" t="str">
            <v>25.02.2026 RPN sent email - scope to be updated for VAR 478 (nr. 2 TV size 65" = 75" and the brackets are modified for 7 rooms). SHP/PAV confirmed rescope on 04.03. G&amp;T to asses.</v>
          </cell>
        </row>
        <row r="667">
          <cell r="A667" t="str">
            <v>R-VAR-0655</v>
          </cell>
          <cell r="C667" t="str">
            <v>Bldg S2 Stairs 1 shaft demolitions</v>
          </cell>
          <cell r="AJ667" t="str">
            <v>SOMBP to draft. VAR not needed - fire stopping is included in fixed amount for BWIC (Builders works in connection).</v>
          </cell>
        </row>
        <row r="668">
          <cell r="A668" t="str">
            <v>R-VAR-0656</v>
          </cell>
          <cell r="C668" t="str">
            <v xml:space="preserve">BldgB Watermist Extension </v>
          </cell>
          <cell r="AJ668" t="str">
            <v>SOMBP drafted on 23.02.2026. G&amp;T to cost.</v>
          </cell>
        </row>
        <row r="669">
          <cell r="A669" t="str">
            <v>R-VAR-0657</v>
          </cell>
          <cell r="C669" t="str">
            <v>Bldg B Additional circuits</v>
          </cell>
          <cell r="AJ669" t="str">
            <v>SOMBP to draft. Cancelled on 20.02.2026 - KAS: it was agreed to connect maximum 18 sockets per phase/line. SHP approves a deviation from the SBST standards as long as it does not compromise code compliance</v>
          </cell>
        </row>
        <row r="670">
          <cell r="A670" t="str">
            <v>R-VAR-0658</v>
          </cell>
          <cell r="C670" t="str">
            <v>Salle C6 - access stair Emergency Lighting</v>
          </cell>
          <cell r="AJ670" t="str">
            <v>SHP sent Step 1 on 25.02.2026. SHP to update model/scope. G&amp;T to cost. Funding - external. 09.03 G&amp;T to cost</v>
          </cell>
        </row>
        <row r="671">
          <cell r="A671" t="str">
            <v>R-VAR-0659</v>
          </cell>
          <cell r="C671" t="str">
            <v>Bldg C LB2 Archives Lighting Adaptation</v>
          </cell>
          <cell r="AJ671" t="str">
            <v>SOMBP drafted on 10.03. G&amp;T to cost.</v>
          </cell>
        </row>
        <row r="672">
          <cell r="A672" t="str">
            <v>R-VAR-0660</v>
          </cell>
          <cell r="C672" t="str">
            <v>Bldg. S1 LB2 - Armurerie, bullet proof partition</v>
          </cell>
          <cell r="AJ672" t="str">
            <v>to check if needed.</v>
          </cell>
        </row>
        <row r="673">
          <cell r="A673" t="str">
            <v>R-VAR-0661</v>
          </cell>
          <cell r="C673" t="str">
            <v>Replacement of lighting fixtures in Bldgs B Works</v>
          </cell>
          <cell r="AJ673" t="str">
            <v>RPN to provide cost assessment.</v>
          </cell>
        </row>
      </sheetData>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47F3F752-C942-4C36-A5EE-B792950CC518}" autoFormatId="16" applyNumberFormats="0" applyBorderFormats="0" applyFontFormats="0" applyPatternFormats="0" applyAlignmentFormats="0" applyWidthHeightFormats="0">
  <queryTableRefresh nextId="9">
    <queryTableFields count="8">
      <queryTableField id="1" name="Owner Name" tableColumnId="1"/>
      <queryTableField id="2" name="Email" tableColumnId="2"/>
      <queryTableField id="3" name="Owner ORG" tableColumnId="3"/>
      <queryTableField id="4" name="Role" tableColumnId="4"/>
      <queryTableField id="5" name="Main ORG" tableColumnId="5"/>
      <queryTableField id="6" name="No sharepoint" tableColumnId="6"/>
      <queryTableField id="7" name="NameforMondayemail" tableColumnId="7"/>
      <queryTableField id="8" name="ACRONYM"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4539C193-0626-48FF-9162-0CC446443090}" autoFormatId="16" applyNumberFormats="0" applyBorderFormats="0" applyFontFormats="0" applyPatternFormats="0" applyAlignmentFormats="0" applyWidthHeightFormats="0">
  <queryTableRefresh nextId="3">
    <queryTableFields count="2">
      <queryTableField id="1" name="ESCALATE" tableColumnId="1"/>
      <queryTableField id="2" name="Owner Nam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98681810-AA63-47E4-8B34-743550C3B4C4}" autoFormatId="16" applyNumberFormats="0" applyBorderFormats="0" applyFontFormats="0" applyPatternFormats="0" applyAlignmentFormats="0" applyWidthHeightFormats="0">
  <queryTableRefresh nextId="6">
    <queryTableFields count="5">
      <queryTableField id="1" name="Discipline" tableColumnId="1"/>
      <queryTableField id="2" name="description" tableColumnId="2"/>
      <queryTableField id="3" name="RFI / NCF DISCIPLINE" tableColumnId="3"/>
      <queryTableField id="4" name="DALUX disciplne " tableColumnId="4"/>
      <queryTableField id="5" name="MACRO DISCIPLINE" tableColumnId="5"/>
    </queryTableFields>
  </queryTableRefresh>
</queryTable>
</file>

<file path=xl/tables/_rels/table6.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773590-678C-4CE2-AC44-A6F4E561BCEC}" name="Table1" displayName="Table1" ref="A12:F35" totalsRowShown="0" headerRowDxfId="136" dataDxfId="135">
  <autoFilter ref="A12:F35" xr:uid="{F6773590-678C-4CE2-AC44-A6F4E561BCEC}"/>
  <tableColumns count="6">
    <tableColumn id="1" xr3:uid="{F8DAE196-9B92-4F29-89E1-408B11C6EF66}" name="B" dataDxfId="134"/>
    <tableColumn id="2" xr3:uid="{F25B1CB2-8525-4DBF-A6A0-144B7D73B645}" name="STAKEHOLDERS" dataDxfId="133">
      <calculatedColumnFormula>IF(ISBLANK(E13), "", INDEX(OWNER_LIST[Role], MATCH(E13,OWNER_LIST[Owner Name], 0)))</calculatedColumnFormula>
    </tableColumn>
    <tableColumn id="4" xr3:uid="{3E2725D7-0CFB-4F4E-AE91-329B45546B2D}" name="Org." dataDxfId="132"/>
    <tableColumn id="6" xr3:uid="{029A212B-3253-47D9-887F-EB00F62C341D}" name="In Attendance" dataDxfId="131"/>
    <tableColumn id="5" xr3:uid="{C33794E7-5E4A-42ED-A47A-06627FE41728}" name="Name" dataDxfId="130"/>
    <tableColumn id="3" xr3:uid="{A2DA0431-E7D5-4DC1-8309-B952468B88B7}" name="Column1" dataDxfId="129"/>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86F30BC-0286-4A61-98A1-5DC94E52244A}" name="C_1" displayName="C_1" ref="A37:X160" totalsRowShown="0" headerRowDxfId="128" dataDxfId="127" tableBorderDxfId="126">
  <autoFilter ref="A37:X160" xr:uid="{986F30BC-0286-4A61-98A1-5DC94E52244A}"/>
  <tableColumns count="24">
    <tableColumn id="1" xr3:uid="{C10A6E37-478C-4CCF-A7D4-4EEAD993B824}" name="C1" dataDxfId="125"/>
    <tableColumn id="2" xr3:uid="{E93EFF89-117B-4F9F-9AF0-7FC0CAD484EB}" name="MEETING TOPIC" dataDxfId="124"/>
    <tableColumn id="3" xr3:uid="{B8BD4843-3885-4131-9951-EA7777E6904E}" name="ACTION - INFO" dataDxfId="123"/>
    <tableColumn id="4" xr3:uid="{54005924-20AA-4864-9B2C-92A4CB859577}" name="STATUS" dataDxfId="122"/>
    <tableColumn id="5" xr3:uid="{8E510B96-9C9B-4F54-9370-EFF2B1F161AA}" name="DESCRIPTION -  INFORMATION LOG" dataDxfId="121"/>
    <tableColumn id="6" xr3:uid="{AE020CFE-7884-4B30-B54B-60E97AD87915}" name="ACTION REQUIRED" dataDxfId="120"/>
    <tableColumn id="9" xr3:uid="{C6ABD09D-0137-4974-97B2-D4C8F73C45BD}" name="PRIORITY" dataDxfId="119"/>
    <tableColumn id="10" xr3:uid="{033B8E95-5AD1-40D0-BAAB-81385E5ABBE2}" name="DUE DATE" dataDxfId="118"/>
    <tableColumn id="11" xr3:uid="{4A3A7F8B-A1BD-45C8-8C08-4DB6041D900A}" name="OWNER ORG." dataDxfId="117"/>
    <tableColumn id="12" xr3:uid="{4873EEF3-D697-4844-8C3D-5FCD1938597C}" name="OWNER NAME 1" dataDxfId="116"/>
    <tableColumn id="13" xr3:uid="{5AC47060-AA04-4508-A6EB-23C6F1989720}" name="OWNER NAME 2" dataDxfId="115"/>
    <tableColumn id="14" xr3:uid="{EFE1562B-E2A7-4242-8628-D4C74128A5C6}" name="DISCIPLINE" dataDxfId="114"/>
    <tableColumn id="15" xr3:uid="{FA1129D2-EE20-4142-8CF5-CF28802280BA}" name="DATE LOGGED" dataDxfId="113"/>
    <tableColumn id="16" xr3:uid="{72841B4B-B0E8-4811-BF95-6FB852920B52}" name="DATE CLOSED" dataDxfId="112"/>
    <tableColumn id="17" xr3:uid="{103D2277-A303-4E7A-A383-61ECAA351929}" name="ESCALATE" dataDxfId="111"/>
    <tableColumn id="18" xr3:uid="{ABEBA899-E6C7-40D7-BBA3-A4D0776D9F18}" name="Note" dataDxfId="110"/>
    <tableColumn id="19" xr3:uid="{1ADA3B7B-4409-449C-8BDC-9F56675B7066}" name="Row_PM" dataDxfId="109"/>
    <tableColumn id="20" xr3:uid="{DB62B896-1C37-4F5F-8B5E-C3DF7EF12B03}" name="Notify_PM" dataDxfId="108">
      <calculatedColumnFormula xml:space="preserve"> _xlfn.CONCAT(C_1[[#This Row],[ESCALATE]], "-",C_1[[#This Row],[Row_PM]])</calculatedColumnFormula>
    </tableColumn>
    <tableColumn id="21" xr3:uid="{E0FDCA1E-D770-4F4C-9865-EBF46F76C646}" name="Condition_PM" dataDxfId="107">
      <calculatedColumnFormula xml:space="preserve"> _xlfn.CONCAT(C_1[[#This Row],[ESCALATE]], "-",C_1[[#This Row],[Notify_PM]])</calculatedColumnFormula>
    </tableColumn>
    <tableColumn id="22" xr3:uid="{BF4081C5-E2D3-4938-AD27-80EEEA9FA091}" name="ROW" dataDxfId="106">
      <calculatedColumnFormula>ROW()</calculatedColumnFormula>
    </tableColumn>
    <tableColumn id="23" xr3:uid="{BD088A57-6BFC-4AE0-BDA8-930E3E43CCCA}" name="Email_Name_1" dataDxfId="105">
      <calculatedColumnFormula>IF(C_1[[#This Row],[OWNER NAME 1]] = "", "",
   IF(_xlfn.XLOOKUP(C_1[[#This Row],[OWNER NAME 1]],OWNER_LIST[Owner Name], OWNER_LIST[Email], "") = "", "",
      _xlfn.XLOOKUP(C_1[[#This Row],[OWNER NAME 1]], OWNER_LIST[Owner Name], OWNER_LIST[Email], "")))</calculatedColumnFormula>
    </tableColumn>
    <tableColumn id="24" xr3:uid="{5F2A8414-D548-4E8E-8C47-62AC573B338A}" name="Email_Name_2" dataDxfId="104">
      <calculatedColumnFormula>IF(C_1[[#This Row],[OWNER NAME 2]] = "", "",
   IF(_xlfn.XLOOKUP(C_1[[#This Row],[OWNER NAME 2]],OWNER_LIST[Owner Name], OWNER_LIST[Email], "") = "", "",
      _xlfn.XLOOKUP(C_1[[#This Row],[OWNER NAME 2]], OWNER_LIST[Owner Name], OWNER_LIST[Email], "")))</calculatedColumnFormula>
    </tableColumn>
    <tableColumn id="25" xr3:uid="{1B82D28A-0F90-4936-8954-63694A8C1795}" name="SECTION" dataDxfId="103">
      <calculatedColumnFormula>$A$37</calculatedColumnFormula>
    </tableColumn>
    <tableColumn id="26" xr3:uid="{F57AB3CC-12CA-4CCB-A57D-FAFB1FFC8495}" name="Nonull" dataDxfId="102">
      <calculatedColumnFormula>IF(
    OR(
        AND(
            NOT(ISBLANK(C_1[[#This Row],[DESCRIPTION -  INFORMATION LOG]])),
            C_1[[#This Row],[DESCRIPTION -  INFORMATION LOG]] &lt;&gt; "DESCRIPTION -  INFORMATION LOG"
        ),
        NOT(ISBLANK(C_1[[#This Row],[ACTION REQUIRED]]))
    ),
    "Y",
    "N"
)</calculatedColumnFormula>
    </tableColumn>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DEED00-F247-4443-8797-A888C0CC5A46}" name="Table15" displayName="Table15" ref="A12:F23" totalsRowShown="0" headerRowDxfId="88" dataDxfId="87">
  <autoFilter ref="A12:F23" xr:uid="{F6773590-678C-4CE2-AC44-A6F4E561BCEC}"/>
  <tableColumns count="6">
    <tableColumn id="1" xr3:uid="{9DD8E240-612B-4D26-9C1E-42E8912FAEB9}" name="B" dataDxfId="86"/>
    <tableColumn id="2" xr3:uid="{D4963F09-65BF-49F8-9B26-2892251E4D4A}" name="STAKEHOLDERS" dataDxfId="85">
      <calculatedColumnFormula>IF(ISBLANK(E13), "", INDEX(OWNER_LIST[Role], MATCH(E13,OWNER_LIST[Owner Name], 0)))</calculatedColumnFormula>
    </tableColumn>
    <tableColumn id="4" xr3:uid="{F8796315-B849-490D-A725-49C6EADDE688}" name="Org." dataDxfId="84">
      <calculatedColumnFormula>IF(ISBLANK(E13), "", INDEX(OWNER_LIST[Owner ORG], MATCH(E13,OWNER_LIST[Owner Name], 0)))</calculatedColumnFormula>
    </tableColumn>
    <tableColumn id="6" xr3:uid="{873484D6-D4F0-4CC9-B4BE-74A3EC1B6B59}" name="In Attendance" dataDxfId="83"/>
    <tableColumn id="5" xr3:uid="{E6DFA074-4522-4B04-A51D-DD203A7D6AD7}" name="Name" dataDxfId="82"/>
    <tableColumn id="3" xr3:uid="{6AC59D6C-EC62-44E8-8BFD-1437733D658B}" name="Column1" dataDxfId="81"/>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7DEC73-0E25-4733-AB92-995CE4EA1F86}" name="C_1_6" displayName="C_1_6" ref="A25:X51" totalsRowShown="0" headerRowDxfId="80" dataDxfId="79" tableBorderDxfId="78">
  <autoFilter ref="A25:X51" xr:uid="{986F30BC-0286-4A61-98A1-5DC94E52244A}"/>
  <tableColumns count="24">
    <tableColumn id="1" xr3:uid="{DE223691-DBA5-414A-9179-16222C5BC810}" name="C1" dataDxfId="77"/>
    <tableColumn id="2" xr3:uid="{14016702-4E79-46F7-80DA-6EB7DAACF1B4}" name="MEETING TOPIC" dataDxfId="76"/>
    <tableColumn id="3" xr3:uid="{EF60CB68-9F6C-401C-84AD-36ED6FE6173E}" name="ACTION - INFO" dataDxfId="75"/>
    <tableColumn id="4" xr3:uid="{19847D31-FB0F-4923-B271-CFFEE95317FF}" name="STATUS" dataDxfId="74"/>
    <tableColumn id="5" xr3:uid="{F12B25A8-CE0F-47C5-BB18-16B712B23A9D}" name="DESCRIPTION -  INFORMATION LOG" dataDxfId="73"/>
    <tableColumn id="6" xr3:uid="{BA55DEBF-D290-4D82-A998-8B5FFC437168}" name="ACTION REQUIRED" dataDxfId="72"/>
    <tableColumn id="9" xr3:uid="{FDCFC8A5-EDA3-45F4-B5B1-41206BB07306}" name="PRIORITY" dataDxfId="71"/>
    <tableColumn id="10" xr3:uid="{D696BCFD-4B29-4A65-9A83-50A02B2ECED9}" name="DUE DATE" dataDxfId="70"/>
    <tableColumn id="11" xr3:uid="{DA916D9A-1698-480C-9FC4-02C4295C79C8}" name="OWNER ORG." dataDxfId="69"/>
    <tableColumn id="12" xr3:uid="{661FC33B-583F-45EC-B459-41DC092ECF37}" name="OWNER NAME 1" dataDxfId="68"/>
    <tableColumn id="13" xr3:uid="{65C7562E-8A7E-4894-8101-A240CB3E5807}" name="OWNER NAME 2" dataDxfId="67"/>
    <tableColumn id="14" xr3:uid="{DCC13377-5422-4976-B636-1B6955B393F2}" name="DISCIPLINE" dataDxfId="66"/>
    <tableColumn id="15" xr3:uid="{8A870881-0C69-49DE-995F-2CCD0A3DF4DF}" name="DATE LOGGED" dataDxfId="65"/>
    <tableColumn id="16" xr3:uid="{376A2875-F3AD-4396-8792-AD67884E22B0}" name="DATE CLOSED" dataDxfId="64"/>
    <tableColumn id="17" xr3:uid="{12694A72-153F-4713-8DAC-C71143E9D58D}" name="ESCALATE" dataDxfId="63"/>
    <tableColumn id="18" xr3:uid="{811E255D-5815-4635-8B1D-DE6D81396B8C}" name="Note" dataDxfId="62"/>
    <tableColumn id="19" xr3:uid="{353029BB-83C2-41C8-BCE0-A7EDA2CBA58A}" name="Row_PM" dataDxfId="61"/>
    <tableColumn id="20" xr3:uid="{7DFFE746-3696-4BF4-954F-400C739DDCA3}" name="Notify_PM" dataDxfId="60">
      <calculatedColumnFormula xml:space="preserve"> _xlfn.CONCAT(C_1_6[[#This Row],[ESCALATE]], "-",C_1_6[[#This Row],[Row_PM]])</calculatedColumnFormula>
    </tableColumn>
    <tableColumn id="21" xr3:uid="{3D032288-787C-40C7-8EFC-99111531CDB9}" name="Condition_PM" dataDxfId="59">
      <calculatedColumnFormula xml:space="preserve"> _xlfn.CONCAT(C_1_6[[#This Row],[ESCALATE]], "-",C_1_6[[#This Row],[Notify_PM]])</calculatedColumnFormula>
    </tableColumn>
    <tableColumn id="22" xr3:uid="{5E6E5C69-1F77-49D0-91B6-D65441E9DDC7}" name="ROW" dataDxfId="58">
      <calculatedColumnFormula>ROW()</calculatedColumnFormula>
    </tableColumn>
    <tableColumn id="23" xr3:uid="{FEDCA428-C13E-40AB-B1BB-B78D9B05B5B2}" name="Email_Name_1" dataDxfId="57">
      <calculatedColumnFormula>IF(C_1_6[[#This Row],[OWNER NAME 1]] = "", "",
   IF(_xlfn.XLOOKUP(C_1_6[[#This Row],[OWNER NAME 1]],OWNER_LIST[Owner Name], OWNER_LIST[Email], "") = "", "",
      _xlfn.XLOOKUP(C_1_6[[#This Row],[OWNER NAME 1]], OWNER_LIST[Owner Name], OWNER_LIST[Email], "")))</calculatedColumnFormula>
    </tableColumn>
    <tableColumn id="24" xr3:uid="{AEA39A9D-589E-4282-9783-8A11E32D3007}" name="Email_Name_2" dataDxfId="56">
      <calculatedColumnFormula>IF(C_1_6[[#This Row],[OWNER NAME 2]] = "", "",
   IF(_xlfn.XLOOKUP(C_1_6[[#This Row],[OWNER NAME 2]],OWNER_LIST[Owner Name], OWNER_LIST[Email], "") = "", "",
      _xlfn.XLOOKUP(C_1_6[[#This Row],[OWNER NAME 2]], OWNER_LIST[Owner Name], OWNER_LIST[Email], "")))</calculatedColumnFormula>
    </tableColumn>
    <tableColumn id="25" xr3:uid="{8C458092-9386-4B65-9339-F503674DD77A}" name="SECTION" dataDxfId="55">
      <calculatedColumnFormula>$A$25</calculatedColumnFormula>
    </tableColumn>
    <tableColumn id="26" xr3:uid="{4DE85E23-EF2A-41CF-92FE-CDB86D403889}" name="Nonull" dataDxfId="54">
      <calculatedColumnFormula>IF(AND(NOT(ISBLANK(C_1_6[[#This Row],[ACTION - INFO]])),C_1_6[[#This Row],[ACTION - INFO]] &lt;&gt; "ACTION - INFO"),"Y","N")</calculatedColumnFormula>
    </tableColumn>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F33D645-64BE-44EC-A188-783531AF6935}" name="ActionClosed" displayName="ActionClosed" ref="A2:X184" totalsRowShown="0" headerRowDxfId="40" dataDxfId="39">
  <autoFilter ref="A2:X184" xr:uid="{4F33D645-64BE-44EC-A188-783531AF6935}"/>
  <tableColumns count="24">
    <tableColumn id="1" xr3:uid="{09984BBA-AB0E-40B8-B253-3A93186CF523}" name="C1" dataDxfId="38"/>
    <tableColumn id="2" xr3:uid="{899752B9-73D9-4121-B7E7-0583B6234930}" name="MEETING TOPIC" dataDxfId="37"/>
    <tableColumn id="3" xr3:uid="{E473ECA1-E504-4496-8CC2-FC6AC7F611EC}" name="ACTION - INFO" dataDxfId="36"/>
    <tableColumn id="4" xr3:uid="{655439A7-8F36-438D-AC1D-4C22ECBB2C77}" name="STATUS" dataDxfId="35"/>
    <tableColumn id="5" xr3:uid="{C5AB7B0C-3D91-4031-87A0-9B979DE3BCFE}" name="DESCRIPTION -  INFORMATION LOG" dataDxfId="34"/>
    <tableColumn id="6" xr3:uid="{AC45C022-F2B0-4B45-B147-057DA022330C}" name="ACTION REQUIRED" dataDxfId="33"/>
    <tableColumn id="7" xr3:uid="{3D2B6252-656D-4677-BE9C-639760F1D127}" name="PRIORITY" dataDxfId="32"/>
    <tableColumn id="8" xr3:uid="{209AC69E-DDE5-4A9A-83AE-5B127D953CF9}" name="DUE DATE" dataDxfId="31"/>
    <tableColumn id="9" xr3:uid="{9CC139F4-D4AE-4424-BCA1-E32F7B3C4E89}" name="OWNER ORG." dataDxfId="30"/>
    <tableColumn id="10" xr3:uid="{8F9C0F17-80CB-4956-AEEE-2F4821A84391}" name="OWNER NAME 1" dataDxfId="29"/>
    <tableColumn id="11" xr3:uid="{E721B46B-1434-4C9C-891A-78F4642D79E6}" name="OWNER NAME 2" dataDxfId="28"/>
    <tableColumn id="12" xr3:uid="{8D457509-340B-4C3E-B47F-E7798CBF031D}" name="DISCIPLINE" dataDxfId="27"/>
    <tableColumn id="13" xr3:uid="{896A2008-AFDC-4130-8CC5-2693A432A24E}" name="DATE LOGGED" dataDxfId="26"/>
    <tableColumn id="14" xr3:uid="{70B72F3F-7BEE-4E30-BD84-64E7630C79E6}" name="DATE CLOSED" dataDxfId="25"/>
    <tableColumn id="15" xr3:uid="{8AAAC761-30A5-4E8D-8C19-59EF200257CB}" name="ESCALATE" dataDxfId="24"/>
    <tableColumn id="16" xr3:uid="{B29300BD-A458-4F64-954B-7CF291FB5B86}" name="Note" dataDxfId="23"/>
    <tableColumn id="17" xr3:uid="{15614BD7-6D18-4C50-AF42-077C6262DD04}" name="Row_PM" dataDxfId="22"/>
    <tableColumn id="18" xr3:uid="{668D1F1D-3761-4380-AFEA-BFB22BA015CF}" name="Notify_PM" dataDxfId="21"/>
    <tableColumn id="19" xr3:uid="{6B73FD5D-C423-4F6D-BEDC-28CFAA971EAE}" name="Condition_PM" dataDxfId="20"/>
    <tableColumn id="20" xr3:uid="{EB7379AF-0EBB-4FCC-AC30-F47D972B5FF3}" name="Row" dataDxfId="19"/>
    <tableColumn id="21" xr3:uid="{3CF26B30-4D9B-4F13-BC1F-F674D5E8914F}" name="Email_Name_1" dataDxfId="18"/>
    <tableColumn id="22" xr3:uid="{75035AE4-94CD-45F6-8C05-E00E2DE518F7}" name="Email_Name_2" dataDxfId="17"/>
    <tableColumn id="23" xr3:uid="{9CBC9E21-87AF-4F86-A04A-7A254B1170B2}" name="SECTION" dataDxfId="16"/>
    <tableColumn id="24" xr3:uid="{866FA8D8-068C-4C40-A5C5-9AA53BFF8E9C}" name="Nonull" dataDxfId="15"/>
  </tableColumns>
  <tableStyleInfo name="TableStyleMedium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A25F0A4-267B-43B2-A218-8DEC95559CAF}" name="OWNER_LIST" displayName="OWNER_LIST" ref="A1:H220" tableType="queryTable" totalsRowShown="0">
  <autoFilter ref="A1:H220" xr:uid="{BA25F0A4-267B-43B2-A218-8DEC95559CAF}"/>
  <tableColumns count="8">
    <tableColumn id="1" xr3:uid="{3199C42A-0851-45EF-AC28-22B678347298}" uniqueName="1" name="Owner Name" queryTableFieldId="1" dataDxfId="14"/>
    <tableColumn id="2" xr3:uid="{04732F47-530D-4A0B-878A-C89827411D12}" uniqueName="2" name="Email" queryTableFieldId="2" dataDxfId="13"/>
    <tableColumn id="3" xr3:uid="{1BC913F5-C1E1-4D41-8625-0B08AABF9BF2}" uniqueName="3" name="Owner ORG" queryTableFieldId="3" dataDxfId="12"/>
    <tableColumn id="4" xr3:uid="{45045703-26B7-4F34-9241-399BBCE954A8}" uniqueName="4" name="Role" queryTableFieldId="4" dataDxfId="11"/>
    <tableColumn id="5" xr3:uid="{653C98C4-3F09-4EFC-A27A-04058D276B6B}" uniqueName="5" name="Main ORG" queryTableFieldId="5" dataDxfId="10"/>
    <tableColumn id="6" xr3:uid="{43F60719-C28F-41B6-8AA0-9EDEB69911CE}" uniqueName="6" name="No sharepoint" queryTableFieldId="6" dataDxfId="9"/>
    <tableColumn id="7" xr3:uid="{290BCD46-C602-4DCE-AD3B-455296F5B4E4}" uniqueName="7" name="NameforMondayemail" queryTableFieldId="7" dataDxfId="8"/>
    <tableColumn id="8" xr3:uid="{FA7C7B51-A2F9-4BF5-BD12-3A057AA5CB57}" uniqueName="8" name="ACRONYM" queryTableFieldId="8" dataDxf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D45581B-C0E5-4EC4-ADE1-48B96DEBD959}" name="DELEGATE" displayName="DELEGATE" ref="A1:B8" tableType="queryTable" totalsRowShown="0">
  <autoFilter ref="A1:B8" xr:uid="{6D45581B-C0E5-4EC4-ADE1-48B96DEBD959}"/>
  <tableColumns count="2">
    <tableColumn id="1" xr3:uid="{39D01A30-08BE-40F1-A289-74E6C94D546B}" uniqueName="1" name="ESCALATE" queryTableFieldId="1" dataDxfId="6"/>
    <tableColumn id="2" xr3:uid="{9DFAF0DB-89DA-4A30-A7D5-23FE0241862D}" uniqueName="2" name="Owner Name" queryTableFieldId="2" dataDxfId="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17FC767-C40D-4466-A18A-09AA1821C79D}" name="DISCIPLINE" displayName="DISCIPLINE" ref="A1:E46" tableType="queryTable" totalsRowShown="0">
  <autoFilter ref="A1:E46" xr:uid="{617FC767-C40D-4466-A18A-09AA1821C79D}"/>
  <tableColumns count="5">
    <tableColumn id="1" xr3:uid="{E947F840-B5C9-477D-B149-8AEE2A89771C}" uniqueName="1" name="Discipline" queryTableFieldId="1" dataDxfId="4"/>
    <tableColumn id="2" xr3:uid="{354D4E6B-56FD-41FB-B200-F50AC490DE95}" uniqueName="2" name="description" queryTableFieldId="2" dataDxfId="3"/>
    <tableColumn id="3" xr3:uid="{2A75685F-FBD9-4239-8E20-36102B8DD58D}" uniqueName="3" name="RFI / NCF DISCIPLINE" queryTableFieldId="3" dataDxfId="2"/>
    <tableColumn id="4" xr3:uid="{8DE3F3DE-5448-4409-AB4A-4B22A5F8EF80}" uniqueName="4" name="DALUX disciplne " queryTableFieldId="4" dataDxfId="1"/>
    <tableColumn id="5" xr3:uid="{BEC313AA-271A-417F-8F91-B8FB7776A867}" uniqueName="5" name="MACRO DISCIPLINE"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hyperlink" Target="mailto:mairi@aspenglobal.co.uk" TargetMode="Externa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C3D1-B563-4CC5-A754-732050112EB9}">
  <sheetPr>
    <pageSetUpPr fitToPage="1"/>
  </sheetPr>
  <dimension ref="A1:Z609"/>
  <sheetViews>
    <sheetView tabSelected="1" zoomScaleNormal="100" zoomScaleSheetLayoutView="70" workbookViewId="0">
      <pane xSplit="2" ySplit="5" topLeftCell="C74" activePane="bottomRight" state="frozen"/>
      <selection pane="bottomRight" activeCell="D79" sqref="D79"/>
      <selection pane="bottomLeft"/>
      <selection pane="topRight"/>
    </sheetView>
  </sheetViews>
  <sheetFormatPr defaultColWidth="9.140625" defaultRowHeight="15" outlineLevelRow="1"/>
  <cols>
    <col min="1" max="1" width="15.7109375" style="52" customWidth="1"/>
    <col min="2" max="2" width="39.42578125" style="52" customWidth="1"/>
    <col min="3" max="3" width="10.85546875" style="52" bestFit="1" customWidth="1"/>
    <col min="4" max="4" width="14.28515625" style="52" bestFit="1" customWidth="1"/>
    <col min="5" max="5" width="62" style="52" customWidth="1"/>
    <col min="6" max="6" width="55.42578125" style="52" customWidth="1"/>
    <col min="7" max="7" width="12.28515625" style="28" bestFit="1" customWidth="1"/>
    <col min="8" max="8" width="13" style="28" bestFit="1" customWidth="1"/>
    <col min="9" max="9" width="16.42578125" style="28" bestFit="1" customWidth="1"/>
    <col min="10" max="11" width="23.5703125" style="28" bestFit="1" customWidth="1"/>
    <col min="12" max="12" width="13.85546875" style="28" bestFit="1" customWidth="1"/>
    <col min="13" max="13" width="17" style="28" bestFit="1" customWidth="1"/>
    <col min="14" max="14" width="16.42578125" style="28" bestFit="1" customWidth="1"/>
    <col min="15" max="15" width="7.5703125" style="28" customWidth="1"/>
    <col min="16" max="16" width="8.140625" style="28" bestFit="1" customWidth="1"/>
    <col min="17" max="17" width="12" style="28" bestFit="1" customWidth="1"/>
    <col min="18" max="18" width="13.7109375" style="28" bestFit="1" customWidth="1"/>
    <col min="19" max="19" width="17" style="28" bestFit="1" customWidth="1"/>
    <col min="20" max="20" width="8.28515625" style="28" bestFit="1" customWidth="1"/>
    <col min="21" max="22" width="42.42578125" style="28" bestFit="1" customWidth="1"/>
    <col min="23" max="23" width="11.5703125" style="28" bestFit="1" customWidth="1"/>
    <col min="24" max="24" width="9.7109375" style="28" bestFit="1" customWidth="1"/>
    <col min="25" max="25" width="12.5703125" style="28" bestFit="1" customWidth="1"/>
    <col min="26" max="26" width="6.5703125" style="28" bestFit="1" customWidth="1"/>
    <col min="27" max="16384" width="9.140625" style="28"/>
  </cols>
  <sheetData>
    <row r="1" spans="1:26" ht="16.5">
      <c r="A1" s="26" t="s">
        <v>0</v>
      </c>
      <c r="B1" s="27" t="s">
        <v>1</v>
      </c>
      <c r="C1" s="26"/>
      <c r="D1" s="26"/>
      <c r="E1" s="26"/>
      <c r="F1" s="26"/>
      <c r="G1" s="26"/>
      <c r="H1" s="26"/>
      <c r="I1" s="26"/>
      <c r="J1" s="26"/>
      <c r="K1" s="26"/>
      <c r="L1" s="26"/>
      <c r="M1" s="26"/>
      <c r="N1" s="26"/>
      <c r="O1" s="26"/>
      <c r="P1" s="26"/>
      <c r="Q1" s="26"/>
      <c r="R1" s="208"/>
      <c r="S1" s="208"/>
      <c r="T1" s="208"/>
      <c r="U1" s="208"/>
      <c r="V1" s="208"/>
      <c r="W1" s="208"/>
      <c r="X1" s="208"/>
      <c r="Y1" s="208"/>
      <c r="Z1" s="208"/>
    </row>
    <row r="2" spans="1:26" ht="16.5">
      <c r="A2" s="29" t="s">
        <v>2</v>
      </c>
      <c r="B2" s="30" t="s">
        <v>3</v>
      </c>
      <c r="C2" s="30"/>
      <c r="D2" s="29" t="s">
        <v>4</v>
      </c>
      <c r="E2" s="30" t="s">
        <v>4</v>
      </c>
      <c r="F2" s="29" t="s">
        <v>4</v>
      </c>
      <c r="G2" s="29"/>
      <c r="H2" s="29"/>
      <c r="I2" s="29"/>
      <c r="J2" s="29" t="s">
        <v>4</v>
      </c>
      <c r="K2" s="29" t="s">
        <v>4</v>
      </c>
      <c r="L2" s="29" t="s">
        <v>4</v>
      </c>
      <c r="M2" s="29" t="s">
        <v>4</v>
      </c>
      <c r="N2" s="29" t="s">
        <v>4</v>
      </c>
      <c r="O2" s="29" t="s">
        <v>4</v>
      </c>
      <c r="P2" s="29" t="s">
        <v>4</v>
      </c>
      <c r="Q2" s="29" t="s">
        <v>4</v>
      </c>
      <c r="R2" s="208"/>
      <c r="S2" s="208"/>
      <c r="T2" s="208"/>
      <c r="U2" s="208"/>
      <c r="V2" s="208"/>
      <c r="W2" s="208"/>
      <c r="X2" s="208"/>
      <c r="Y2" s="208"/>
      <c r="Z2" s="208"/>
    </row>
    <row r="3" spans="1:26">
      <c r="A3" s="31"/>
      <c r="B3" s="32" t="s">
        <v>5</v>
      </c>
      <c r="C3" s="33"/>
      <c r="D3" s="174" t="s">
        <v>4</v>
      </c>
      <c r="E3" s="168" t="s">
        <v>6</v>
      </c>
      <c r="F3" s="31"/>
      <c r="G3" s="31"/>
      <c r="H3" s="31"/>
      <c r="I3" s="31"/>
      <c r="J3" s="31"/>
      <c r="K3" s="31"/>
      <c r="L3" s="31"/>
      <c r="M3" s="31"/>
      <c r="N3" s="31"/>
      <c r="O3" s="31"/>
      <c r="P3" s="31"/>
      <c r="Q3" s="208"/>
      <c r="R3" s="208"/>
      <c r="S3" s="208"/>
      <c r="T3" s="208"/>
      <c r="U3" s="208"/>
      <c r="V3" s="208"/>
      <c r="W3" s="208"/>
      <c r="X3" s="208"/>
      <c r="Y3" s="208"/>
      <c r="Z3" s="208"/>
    </row>
    <row r="4" spans="1:26">
      <c r="A4" s="31"/>
      <c r="B4" s="36" t="s">
        <v>7</v>
      </c>
      <c r="C4" s="37"/>
      <c r="D4" s="175"/>
      <c r="E4" s="169">
        <f>WEEKNUM(E6)</f>
        <v>9</v>
      </c>
      <c r="F4" s="31"/>
      <c r="G4" s="31"/>
      <c r="H4" s="31"/>
      <c r="I4" s="31"/>
      <c r="J4" s="31"/>
      <c r="K4" s="31"/>
      <c r="L4" s="31"/>
      <c r="M4" s="31"/>
      <c r="N4" s="31"/>
      <c r="O4" s="31"/>
      <c r="P4" s="31"/>
      <c r="Q4" s="208"/>
      <c r="R4" s="208"/>
      <c r="S4" s="208"/>
      <c r="T4" s="208"/>
      <c r="U4" s="208"/>
      <c r="V4" s="208"/>
      <c r="W4" s="208"/>
      <c r="X4" s="208"/>
      <c r="Y4" s="208"/>
      <c r="Z4" s="208"/>
    </row>
    <row r="5" spans="1:26">
      <c r="A5" s="40"/>
      <c r="B5" s="36" t="s">
        <v>8</v>
      </c>
      <c r="C5" s="37"/>
      <c r="D5" s="176" t="s">
        <v>4</v>
      </c>
      <c r="E5" s="170" t="s">
        <v>9</v>
      </c>
      <c r="F5" s="40"/>
      <c r="G5" s="40"/>
      <c r="H5" s="40"/>
      <c r="I5" s="40"/>
      <c r="J5" s="40"/>
      <c r="K5" s="40"/>
      <c r="L5" s="40"/>
      <c r="M5" s="40"/>
      <c r="N5" s="40"/>
      <c r="O5" s="40"/>
      <c r="P5" s="31"/>
      <c r="Q5" s="208"/>
      <c r="R5" s="208"/>
      <c r="S5" s="208"/>
      <c r="T5" s="208"/>
      <c r="U5" s="208"/>
      <c r="V5" s="208"/>
      <c r="W5" s="208"/>
      <c r="X5" s="208"/>
      <c r="Y5" s="208"/>
      <c r="Z5" s="208"/>
    </row>
    <row r="6" spans="1:26">
      <c r="A6" s="40"/>
      <c r="B6" s="36" t="s">
        <v>10</v>
      </c>
      <c r="C6" s="37"/>
      <c r="D6" s="176" t="s">
        <v>4</v>
      </c>
      <c r="E6" s="171">
        <v>46078</v>
      </c>
      <c r="F6" s="40"/>
      <c r="G6" s="40"/>
      <c r="H6" s="40"/>
      <c r="I6" s="40"/>
      <c r="J6" s="40"/>
      <c r="K6" s="40"/>
      <c r="L6" s="40"/>
      <c r="M6" s="40"/>
      <c r="N6" s="40"/>
      <c r="O6" s="40"/>
      <c r="P6" s="31"/>
      <c r="Q6" s="208"/>
      <c r="R6" s="208"/>
      <c r="S6" s="208"/>
      <c r="T6" s="208"/>
      <c r="U6" s="208"/>
      <c r="V6" s="208"/>
      <c r="W6" s="208"/>
      <c r="X6" s="208"/>
      <c r="Y6" s="208"/>
      <c r="Z6" s="208"/>
    </row>
    <row r="7" spans="1:26">
      <c r="A7" s="40"/>
      <c r="B7" s="36" t="s">
        <v>11</v>
      </c>
      <c r="C7" s="37"/>
      <c r="D7" s="176" t="s">
        <v>4</v>
      </c>
      <c r="E7" s="172">
        <v>0.4375</v>
      </c>
      <c r="F7" s="40"/>
      <c r="G7" s="40"/>
      <c r="H7" s="40"/>
      <c r="I7" s="40"/>
      <c r="J7" s="40"/>
      <c r="K7" s="40"/>
      <c r="L7" s="40"/>
      <c r="M7" s="40"/>
      <c r="N7" s="40"/>
      <c r="O7" s="40"/>
      <c r="P7" s="31"/>
      <c r="Q7" s="208"/>
      <c r="R7" s="208"/>
      <c r="S7" s="208"/>
      <c r="T7" s="208"/>
      <c r="U7" s="208"/>
      <c r="V7" s="208"/>
      <c r="W7" s="208"/>
      <c r="X7" s="208"/>
      <c r="Y7" s="208"/>
      <c r="Z7" s="208"/>
    </row>
    <row r="8" spans="1:26">
      <c r="A8" s="40"/>
      <c r="B8" s="36" t="s">
        <v>12</v>
      </c>
      <c r="C8" s="37"/>
      <c r="D8" s="176" t="s">
        <v>4</v>
      </c>
      <c r="E8" s="170" t="s">
        <v>13</v>
      </c>
      <c r="F8" s="40"/>
      <c r="G8" s="40"/>
      <c r="H8" s="40"/>
      <c r="I8" s="40"/>
      <c r="J8" s="40"/>
      <c r="K8" s="40"/>
      <c r="L8" s="40"/>
      <c r="M8" s="40"/>
      <c r="N8" s="40"/>
      <c r="O8" s="40"/>
      <c r="P8" s="31"/>
      <c r="Q8" s="208"/>
      <c r="R8" s="208"/>
      <c r="S8" s="208"/>
      <c r="T8" s="208"/>
      <c r="U8" s="208"/>
      <c r="V8" s="208"/>
      <c r="W8" s="208"/>
      <c r="X8" s="208"/>
      <c r="Y8" s="208"/>
      <c r="Z8" s="208"/>
    </row>
    <row r="9" spans="1:26" ht="27">
      <c r="A9" s="40"/>
      <c r="B9" s="36" t="s">
        <v>14</v>
      </c>
      <c r="C9" s="37"/>
      <c r="D9" s="176" t="s">
        <v>4</v>
      </c>
      <c r="E9" s="173" t="s">
        <v>15</v>
      </c>
      <c r="F9" s="40"/>
      <c r="G9" s="40"/>
      <c r="H9" s="40"/>
      <c r="I9" s="40"/>
      <c r="J9" s="40"/>
      <c r="K9" s="40"/>
      <c r="L9" s="40"/>
      <c r="M9" s="40"/>
      <c r="N9" s="40"/>
      <c r="O9" s="40"/>
      <c r="P9" s="31"/>
      <c r="Q9" s="208"/>
      <c r="R9" s="208"/>
      <c r="S9" s="208"/>
      <c r="T9" s="208"/>
      <c r="U9" s="208"/>
      <c r="V9" s="208"/>
      <c r="W9" s="208"/>
      <c r="X9" s="208"/>
      <c r="Y9" s="208"/>
      <c r="Z9" s="208"/>
    </row>
    <row r="10" spans="1:26">
      <c r="A10" s="40"/>
      <c r="B10" s="36" t="s">
        <v>16</v>
      </c>
      <c r="C10" s="37"/>
      <c r="D10" s="176"/>
      <c r="E10" s="171">
        <f>E6+7</f>
        <v>46085</v>
      </c>
      <c r="F10" s="40"/>
      <c r="G10" s="40"/>
      <c r="H10" s="40"/>
      <c r="I10" s="40"/>
      <c r="J10" s="40"/>
      <c r="K10" s="40"/>
      <c r="L10" s="40"/>
      <c r="M10" s="40"/>
      <c r="N10" s="40"/>
      <c r="O10" s="40"/>
      <c r="P10" s="31"/>
      <c r="Q10" s="208"/>
      <c r="R10" s="208"/>
      <c r="S10" s="208"/>
      <c r="T10" s="208"/>
      <c r="U10" s="208"/>
      <c r="V10" s="208"/>
      <c r="W10" s="208"/>
      <c r="X10" s="208"/>
      <c r="Y10" s="208"/>
      <c r="Z10" s="208"/>
    </row>
    <row r="11" spans="1:26">
      <c r="A11" s="31"/>
      <c r="B11" s="46"/>
      <c r="C11" s="46"/>
      <c r="D11" s="31"/>
      <c r="E11" s="46"/>
      <c r="F11" s="31"/>
      <c r="G11" s="31"/>
      <c r="H11" s="31"/>
      <c r="I11" s="31"/>
      <c r="J11" s="31"/>
      <c r="K11" s="31"/>
      <c r="L11" s="31"/>
      <c r="M11" s="31"/>
      <c r="N11" s="31"/>
      <c r="O11" s="31"/>
      <c r="P11" s="31"/>
      <c r="Q11" s="208"/>
      <c r="R11" s="208"/>
      <c r="S11" s="208"/>
      <c r="T11" s="208"/>
      <c r="U11" s="208"/>
      <c r="V11" s="208"/>
      <c r="W11" s="208"/>
      <c r="X11" s="208"/>
      <c r="Y11" s="208"/>
      <c r="Z11" s="208"/>
    </row>
    <row r="12" spans="1:26" s="52" customFormat="1" ht="16.5">
      <c r="A12" s="47" t="s">
        <v>17</v>
      </c>
      <c r="B12" s="48" t="s">
        <v>18</v>
      </c>
      <c r="C12" s="49" t="s">
        <v>19</v>
      </c>
      <c r="D12" s="50" t="s">
        <v>20</v>
      </c>
      <c r="E12" s="48" t="s">
        <v>21</v>
      </c>
      <c r="F12" s="48" t="s">
        <v>22</v>
      </c>
      <c r="G12" s="51"/>
      <c r="H12" s="51"/>
      <c r="I12" s="47" t="s">
        <v>4</v>
      </c>
      <c r="J12" s="47" t="s">
        <v>4</v>
      </c>
      <c r="K12" s="51" t="s">
        <v>4</v>
      </c>
      <c r="L12" s="47" t="s">
        <v>4</v>
      </c>
      <c r="M12" s="47" t="s">
        <v>4</v>
      </c>
      <c r="N12" s="47" t="s">
        <v>4</v>
      </c>
      <c r="O12" s="47" t="s">
        <v>4</v>
      </c>
      <c r="P12" s="47" t="s">
        <v>4</v>
      </c>
      <c r="Q12" s="242"/>
      <c r="R12" s="242"/>
      <c r="S12" s="242"/>
      <c r="T12" s="242"/>
      <c r="U12" s="242"/>
      <c r="V12" s="242"/>
      <c r="W12" s="242"/>
      <c r="X12" s="242"/>
      <c r="Y12" s="242"/>
      <c r="Z12" s="242"/>
    </row>
    <row r="13" spans="1:26" s="52" customFormat="1" outlineLevel="1">
      <c r="A13" s="53"/>
      <c r="B13" s="57" t="str">
        <f>IF(ISBLANK(E13), "", INDEX(OWNER_LIST[Role], MATCH(E13,OWNER_LIST[Owner Name], 0)))</f>
        <v>Project Manager (PM)</v>
      </c>
      <c r="C13" s="58" t="str">
        <f>IF(ISBLANK(E13), "", INDEX(OWNER_LIST[Owner ORG], MATCH(E13,OWNER_LIST[Owner Name], 0)))</f>
        <v>RPN</v>
      </c>
      <c r="D13" s="58" t="s">
        <v>23</v>
      </c>
      <c r="E13" s="59" t="s">
        <v>24</v>
      </c>
      <c r="F13" s="53"/>
      <c r="G13" s="53"/>
      <c r="H13" s="53"/>
      <c r="I13" s="53"/>
      <c r="J13" s="53"/>
      <c r="K13" s="53"/>
      <c r="L13" s="53"/>
      <c r="M13" s="53"/>
      <c r="N13" s="53"/>
      <c r="O13" s="53"/>
      <c r="P13" s="242"/>
      <c r="Q13" s="242"/>
      <c r="R13" s="242"/>
      <c r="S13" s="242"/>
      <c r="T13" s="242"/>
      <c r="U13" s="242"/>
      <c r="V13" s="242"/>
      <c r="W13" s="242"/>
      <c r="X13" s="242"/>
      <c r="Y13" s="242"/>
      <c r="Z13" s="242"/>
    </row>
    <row r="14" spans="1:26" s="52" customFormat="1" outlineLevel="1">
      <c r="A14" s="53"/>
      <c r="B14" s="57" t="str">
        <f>IF(ISBLANK(E14), "", INDEX(OWNER_LIST[Role], MATCH(E14,OWNER_LIST[Owner Name], 0)))</f>
        <v>Construction Manager</v>
      </c>
      <c r="C14" s="58" t="str">
        <f>IF(ISBLANK(E14), "", INDEX(OWNER_LIST[Owner ORG], MATCH(E14,OWNER_LIST[Owner Name], 0)))</f>
        <v>RPN</v>
      </c>
      <c r="D14" s="58" t="s">
        <v>23</v>
      </c>
      <c r="E14" s="59" t="s">
        <v>25</v>
      </c>
      <c r="F14" s="53"/>
      <c r="G14" s="53"/>
      <c r="H14" s="53"/>
      <c r="I14" s="53"/>
      <c r="J14" s="53"/>
      <c r="K14" s="53"/>
      <c r="L14" s="53"/>
      <c r="M14" s="53"/>
      <c r="N14" s="53"/>
      <c r="O14" s="53"/>
      <c r="P14" s="242"/>
      <c r="Q14" s="242"/>
      <c r="R14" s="242"/>
      <c r="S14" s="242"/>
      <c r="T14" s="242"/>
      <c r="U14" s="242"/>
      <c r="V14" s="242"/>
      <c r="W14" s="242"/>
      <c r="X14" s="242"/>
      <c r="Y14" s="242"/>
      <c r="Z14" s="242"/>
    </row>
    <row r="15" spans="1:26" s="52" customFormat="1" outlineLevel="1">
      <c r="A15" s="188"/>
      <c r="B15" s="57" t="str">
        <f>IF(ISBLANK(E15), "", INDEX(OWNER_LIST[Role], MATCH(E15,OWNER_LIST[Owner Name], 0)))</f>
        <v>Cost Control Manager</v>
      </c>
      <c r="C15" s="58" t="str">
        <f>IF(ISBLANK(E15), "", INDEX(OWNER_LIST[Owner ORG], MATCH(E15,OWNER_LIST[Owner Name], 0)))</f>
        <v>RPN</v>
      </c>
      <c r="D15" s="58" t="s">
        <v>26</v>
      </c>
      <c r="E15" s="59" t="s">
        <v>27</v>
      </c>
      <c r="F15" s="53"/>
      <c r="G15" s="60"/>
      <c r="H15" s="60"/>
      <c r="I15" s="53"/>
      <c r="J15" s="53"/>
      <c r="K15" s="53"/>
      <c r="L15" s="53"/>
      <c r="M15" s="53"/>
      <c r="N15" s="53"/>
      <c r="O15" s="53"/>
      <c r="P15" s="242"/>
      <c r="Q15" s="242"/>
      <c r="R15" s="242"/>
      <c r="S15" s="242"/>
      <c r="T15" s="242"/>
      <c r="U15" s="242"/>
      <c r="V15" s="242"/>
      <c r="W15" s="242"/>
      <c r="X15" s="242"/>
      <c r="Y15" s="242"/>
      <c r="Z15" s="242"/>
    </row>
    <row r="16" spans="1:26" s="52" customFormat="1" outlineLevel="1">
      <c r="A16" s="188"/>
      <c r="B16" s="57" t="str">
        <f>IF(ISBLANK(E16), "", INDEX(OWNER_LIST[Role], MATCH(E16,OWNER_LIST[Owner Name], 0)))</f>
        <v>Engineering Chief &amp; Move Manager</v>
      </c>
      <c r="C16" s="58" t="str">
        <f>IF(ISBLANK(E16), "", INDEX(OWNER_LIST[Owner ORG], MATCH(E16,OWNER_LIST[Owner Name], 0)))</f>
        <v>RPN</v>
      </c>
      <c r="D16" s="58" t="s">
        <v>23</v>
      </c>
      <c r="E16" s="59" t="s">
        <v>28</v>
      </c>
      <c r="F16" s="53"/>
      <c r="G16" s="60"/>
      <c r="H16" s="60"/>
      <c r="I16" s="53"/>
      <c r="J16" s="53"/>
      <c r="K16" s="53"/>
      <c r="L16" s="53"/>
      <c r="M16" s="53"/>
      <c r="N16" s="53"/>
      <c r="O16" s="53"/>
      <c r="P16" s="242"/>
      <c r="Q16" s="242"/>
      <c r="R16" s="242"/>
      <c r="S16" s="242"/>
      <c r="T16" s="242"/>
      <c r="U16" s="242"/>
      <c r="V16" s="242"/>
      <c r="W16" s="242"/>
      <c r="X16" s="242"/>
      <c r="Y16" s="242"/>
      <c r="Z16" s="242"/>
    </row>
    <row r="17" spans="1:26" s="52" customFormat="1" outlineLevel="1">
      <c r="A17" s="53"/>
      <c r="B17" s="243" t="str">
        <f>IF(ISBLANK(E17), "", INDEX(OWNER_LIST[Role], MATCH(E17,OWNER_LIST[Owner Name], 0)))</f>
        <v>Arch Design Specialist</v>
      </c>
      <c r="C17" s="244" t="str">
        <f>IF(ISBLANK(E17), "", INDEX(OWNER_LIST[Owner ORG], MATCH(E17,OWNER_LIST[Owner Name], 0)))</f>
        <v>RPN</v>
      </c>
      <c r="D17" s="244" t="s">
        <v>26</v>
      </c>
      <c r="E17" s="245" t="s">
        <v>29</v>
      </c>
      <c r="F17" s="53"/>
      <c r="G17" s="53"/>
      <c r="H17" s="53"/>
      <c r="I17" s="53"/>
      <c r="J17" s="53"/>
      <c r="K17" s="53"/>
      <c r="L17" s="53"/>
      <c r="M17" s="53"/>
      <c r="N17" s="53"/>
      <c r="O17" s="53"/>
      <c r="P17" s="242"/>
      <c r="Q17" s="242"/>
      <c r="R17" s="242"/>
      <c r="S17" s="242"/>
      <c r="T17" s="242"/>
      <c r="U17" s="242"/>
      <c r="V17" s="242"/>
      <c r="W17" s="242"/>
      <c r="X17" s="242"/>
      <c r="Y17" s="242"/>
      <c r="Z17" s="242"/>
    </row>
    <row r="18" spans="1:26" s="52" customFormat="1" outlineLevel="1">
      <c r="A18" s="53"/>
      <c r="B18" s="278" t="str">
        <f>IF(ISBLANK(E18), "", INDEX(OWNER_LIST[Role], MATCH(E18,OWNER_LIST[Owner Name], 0)))</f>
        <v>Schedule Manager</v>
      </c>
      <c r="C18" s="279" t="str">
        <f>IF(ISBLANK(E18), "", INDEX(OWNER_LIST[Owner ORG], MATCH(E18,OWNER_LIST[Owner Name], 0)))</f>
        <v>RPN</v>
      </c>
      <c r="D18" s="279" t="s">
        <v>23</v>
      </c>
      <c r="E18" s="42" t="s">
        <v>30</v>
      </c>
      <c r="F18" s="53"/>
      <c r="G18" s="60"/>
      <c r="H18" s="60"/>
      <c r="I18" s="53"/>
      <c r="J18" s="53"/>
      <c r="K18" s="53"/>
      <c r="L18" s="53"/>
      <c r="M18" s="53"/>
      <c r="N18" s="53"/>
      <c r="O18" s="53"/>
      <c r="P18" s="242"/>
      <c r="Q18" s="242"/>
      <c r="R18" s="242"/>
      <c r="S18" s="242"/>
      <c r="T18" s="242"/>
      <c r="U18" s="242"/>
      <c r="V18" s="242"/>
      <c r="W18" s="242"/>
      <c r="X18" s="242"/>
      <c r="Y18" s="242"/>
      <c r="Z18" s="242"/>
    </row>
    <row r="19" spans="1:26" s="52" customFormat="1" outlineLevel="1">
      <c r="A19" s="53"/>
      <c r="B19" s="243" t="str">
        <f>IF(ISBLANK(E19), "", INDEX(OWNER_LIST[Role], MATCH(E19,OWNER_LIST[Owner Name], 0)))</f>
        <v>Move Specialist / Doc Controller</v>
      </c>
      <c r="C19" s="244" t="str">
        <f>IF(ISBLANK(E19), "", INDEX(OWNER_LIST[Owner ORG], MATCH(E19,OWNER_LIST[Owner Name], 0)))</f>
        <v>RPN</v>
      </c>
      <c r="D19" s="244" t="s">
        <v>26</v>
      </c>
      <c r="E19" s="245" t="s">
        <v>31</v>
      </c>
      <c r="F19" s="53"/>
      <c r="G19" s="53"/>
      <c r="H19" s="53"/>
      <c r="I19" s="53"/>
      <c r="J19" s="53"/>
      <c r="K19" s="53"/>
      <c r="L19" s="53"/>
      <c r="M19" s="53"/>
      <c r="N19" s="53"/>
      <c r="O19" s="53"/>
      <c r="P19" s="242"/>
      <c r="Q19" s="242"/>
      <c r="R19" s="242"/>
      <c r="S19" s="242"/>
      <c r="T19" s="242"/>
      <c r="U19" s="242"/>
      <c r="V19" s="242"/>
      <c r="W19" s="242"/>
      <c r="X19" s="242"/>
      <c r="Y19" s="242"/>
      <c r="Z19" s="242"/>
    </row>
    <row r="20" spans="1:26" s="52" customFormat="1" outlineLevel="1">
      <c r="A20" s="188"/>
      <c r="B20" s="57" t="str">
        <f>IF(ISBLANK(E20), "", INDEX(OWNER_LIST[Role], MATCH(E20,OWNER_LIST[Owner Name], 0)))</f>
        <v>Electrical Engineer</v>
      </c>
      <c r="C20" s="58" t="str">
        <f>IF(ISBLANK(E20), "", INDEX(OWNER_LIST[Owner ORG], MATCH(E20,OWNER_LIST[Owner Name], 0)))</f>
        <v>RPN</v>
      </c>
      <c r="D20" s="58" t="s">
        <v>23</v>
      </c>
      <c r="E20" s="59" t="s">
        <v>32</v>
      </c>
      <c r="F20" s="53"/>
      <c r="G20" s="53"/>
      <c r="H20" s="53"/>
      <c r="I20" s="53"/>
      <c r="J20" s="53"/>
      <c r="K20" s="53"/>
      <c r="L20" s="53"/>
      <c r="M20" s="53"/>
      <c r="N20" s="53"/>
      <c r="O20" s="53"/>
      <c r="P20" s="242"/>
      <c r="Q20" s="242"/>
      <c r="R20" s="242"/>
      <c r="S20" s="242"/>
      <c r="T20" s="242"/>
      <c r="U20" s="242"/>
      <c r="V20" s="242"/>
      <c r="W20" s="242"/>
      <c r="X20" s="242"/>
      <c r="Y20" s="242"/>
      <c r="Z20" s="242"/>
    </row>
    <row r="21" spans="1:26" s="52" customFormat="1" outlineLevel="1">
      <c r="A21" s="188"/>
      <c r="B21" s="57" t="str">
        <f>IF(ISBLANK(E21), "", INDEX(OWNER_LIST[Role], MATCH(E21,OWNER_LIST[Owner Name], 0)))</f>
        <v>Deputy Quality Manager</v>
      </c>
      <c r="C21" s="58" t="str">
        <f>IF(ISBLANK(E21), "", INDEX(OWNER_LIST[Owner ORG], MATCH(E21,OWNER_LIST[Owner Name], 0)))</f>
        <v>RPN</v>
      </c>
      <c r="D21" s="58" t="s">
        <v>23</v>
      </c>
      <c r="E21" s="59" t="s">
        <v>33</v>
      </c>
      <c r="F21" s="53"/>
      <c r="G21" s="53"/>
      <c r="H21" s="53"/>
      <c r="I21" s="53"/>
      <c r="J21" s="53"/>
      <c r="K21" s="53"/>
      <c r="L21" s="53"/>
      <c r="M21" s="53"/>
      <c r="N21" s="53"/>
      <c r="O21" s="53"/>
      <c r="P21" s="242"/>
      <c r="Q21" s="242"/>
      <c r="R21" s="242"/>
      <c r="S21" s="242"/>
      <c r="T21" s="242"/>
      <c r="U21" s="242"/>
      <c r="V21" s="242"/>
      <c r="W21" s="242"/>
      <c r="X21" s="242"/>
      <c r="Y21" s="242"/>
      <c r="Z21" s="242"/>
    </row>
    <row r="22" spans="1:26" s="52" customFormat="1" outlineLevel="1">
      <c r="A22" s="188"/>
      <c r="B22" s="57" t="str">
        <f>IF(ISBLANK(E22), "", INDEX(OWNER_LIST[Role], MATCH(E22,OWNER_LIST[Owner Name], 0)))</f>
        <v>HSE &amp; Security Manager</v>
      </c>
      <c r="C22" s="58" t="str">
        <f>IF(ISBLANK(E22), "", INDEX(OWNER_LIST[Owner ORG], MATCH(E22,OWNER_LIST[Owner Name], 0)))</f>
        <v>RPN</v>
      </c>
      <c r="D22" s="58" t="s">
        <v>23</v>
      </c>
      <c r="E22" s="59" t="s">
        <v>34</v>
      </c>
      <c r="F22" s="53"/>
      <c r="G22" s="53"/>
      <c r="H22" s="53"/>
      <c r="I22" s="53"/>
      <c r="J22" s="53"/>
      <c r="K22" s="53"/>
      <c r="L22" s="53"/>
      <c r="M22" s="53"/>
      <c r="N22" s="53"/>
      <c r="O22" s="53"/>
      <c r="P22" s="242"/>
      <c r="Q22" s="242"/>
      <c r="R22" s="242"/>
      <c r="S22" s="242"/>
      <c r="T22" s="242"/>
      <c r="U22" s="242"/>
      <c r="V22" s="242"/>
      <c r="W22" s="242"/>
      <c r="X22" s="242"/>
      <c r="Y22" s="242"/>
      <c r="Z22" s="242"/>
    </row>
    <row r="23" spans="1:26" s="52" customFormat="1" outlineLevel="1">
      <c r="A23" s="188"/>
      <c r="B23" s="57" t="str">
        <f>IF(ISBLANK(E23), "", INDEX(OWNER_LIST[Role], MATCH(E23,OWNER_LIST[Owner Name], 0)))</f>
        <v>Architectural Manager</v>
      </c>
      <c r="C23" s="58" t="str">
        <f>IF(ISBLANK(E23), "", INDEX(OWNER_LIST[Owner ORG], MATCH(E23,OWNER_LIST[Owner Name], 0)))</f>
        <v>SHP</v>
      </c>
      <c r="D23" s="58" t="s">
        <v>23</v>
      </c>
      <c r="E23" s="59" t="s">
        <v>35</v>
      </c>
      <c r="F23" s="53"/>
      <c r="G23" s="53"/>
      <c r="H23" s="53"/>
      <c r="I23" s="53"/>
      <c r="J23" s="53"/>
      <c r="K23" s="53"/>
      <c r="L23" s="53"/>
      <c r="M23" s="53"/>
      <c r="N23" s="53"/>
      <c r="O23" s="53"/>
      <c r="P23" s="242"/>
      <c r="Q23" s="242"/>
      <c r="R23" s="242"/>
      <c r="S23" s="242"/>
      <c r="T23" s="242"/>
      <c r="U23" s="242"/>
      <c r="V23" s="242"/>
      <c r="W23" s="242"/>
      <c r="X23" s="242"/>
      <c r="Y23" s="242"/>
      <c r="Z23" s="242"/>
    </row>
    <row r="24" spans="1:26" s="52" customFormat="1" outlineLevel="1">
      <c r="A24" s="188"/>
      <c r="B24" s="57" t="str">
        <f>IF(ISBLANK(E24), "", INDEX(OWNER_LIST[Role], MATCH(E24,OWNER_LIST[Owner Name], 0)))</f>
        <v xml:space="preserve">Chief Design and Construction </v>
      </c>
      <c r="C24" s="58" t="str">
        <f>IF(ISBLANK(E24), "", INDEX(OWNER_LIST[Owner ORG], MATCH(E24,OWNER_LIST[Owner Name], 0)))</f>
        <v>SHP</v>
      </c>
      <c r="D24" s="58" t="s">
        <v>23</v>
      </c>
      <c r="E24" s="59" t="s">
        <v>36</v>
      </c>
      <c r="F24" s="53"/>
      <c r="G24" s="53"/>
      <c r="H24" s="53"/>
      <c r="I24" s="53"/>
      <c r="J24" s="53"/>
      <c r="K24" s="53"/>
      <c r="L24" s="53"/>
      <c r="M24" s="53"/>
      <c r="N24" s="53"/>
      <c r="O24" s="53"/>
      <c r="P24" s="242"/>
      <c r="Q24" s="242"/>
      <c r="R24" s="242"/>
      <c r="S24" s="242"/>
      <c r="T24" s="242"/>
      <c r="U24" s="242"/>
      <c r="V24" s="242"/>
      <c r="W24" s="242"/>
      <c r="X24" s="242"/>
      <c r="Y24" s="242"/>
      <c r="Z24" s="242"/>
    </row>
    <row r="25" spans="1:26" s="52" customFormat="1" outlineLevel="1">
      <c r="A25" s="188"/>
      <c r="B25" s="57" t="str">
        <f>IF(ISBLANK(E25), "", INDEX(OWNER_LIST[Role], MATCH(E25,OWNER_LIST[Owner Name], 0)))</f>
        <v>Project Manager (PM)</v>
      </c>
      <c r="C25" s="58" t="str">
        <f>IF(ISBLANK(E25), "", INDEX(OWNER_LIST[Owner ORG], MATCH(E25,OWNER_LIST[Owner Name], 0)))</f>
        <v>SHP</v>
      </c>
      <c r="D25" s="58" t="s">
        <v>23</v>
      </c>
      <c r="E25" s="59" t="s">
        <v>37</v>
      </c>
      <c r="F25" s="53"/>
      <c r="G25" s="53"/>
      <c r="H25" s="53"/>
      <c r="I25" s="53"/>
      <c r="J25" s="53"/>
      <c r="K25" s="53"/>
      <c r="L25" s="53"/>
      <c r="M25" s="53"/>
      <c r="N25" s="53"/>
      <c r="O25" s="53"/>
      <c r="P25" s="242"/>
      <c r="Q25" s="242"/>
      <c r="R25" s="242"/>
      <c r="S25" s="242"/>
      <c r="T25" s="242"/>
      <c r="U25" s="242"/>
      <c r="V25" s="242"/>
      <c r="W25" s="242"/>
      <c r="X25" s="242"/>
      <c r="Y25" s="242"/>
      <c r="Z25" s="242"/>
    </row>
    <row r="26" spans="1:26" s="52" customFormat="1" outlineLevel="1">
      <c r="A26" s="188"/>
      <c r="B26" s="57" t="str">
        <f>IF(ISBLANK(E26), "", INDEX(OWNER_LIST[Role], MATCH(E26,OWNER_LIST[Owner Name], 0)))</f>
        <v>MEP Manager</v>
      </c>
      <c r="C26" s="58" t="str">
        <f>IF(ISBLANK(E26), "", INDEX(OWNER_LIST[Owner ORG], MATCH(E26,OWNER_LIST[Owner Name], 0)))</f>
        <v>SHP</v>
      </c>
      <c r="D26" s="58" t="s">
        <v>23</v>
      </c>
      <c r="E26" s="59" t="s">
        <v>38</v>
      </c>
      <c r="F26" s="53"/>
      <c r="G26" s="53"/>
      <c r="H26" s="53"/>
      <c r="I26" s="53"/>
      <c r="J26" s="53"/>
      <c r="K26" s="53"/>
      <c r="L26" s="53"/>
      <c r="M26" s="53"/>
      <c r="N26" s="53"/>
      <c r="O26" s="53"/>
      <c r="P26" s="242"/>
      <c r="Q26" s="242"/>
      <c r="R26" s="242"/>
      <c r="S26" s="242"/>
      <c r="T26" s="242"/>
      <c r="U26" s="242"/>
      <c r="V26" s="242"/>
      <c r="W26" s="242"/>
      <c r="X26" s="242"/>
      <c r="Y26" s="242"/>
      <c r="Z26" s="242"/>
    </row>
    <row r="27" spans="1:26" s="52" customFormat="1" outlineLevel="1">
      <c r="A27" s="188"/>
      <c r="B27" s="202" t="str">
        <f>IF(ISBLANK(E27), "", INDEX(OWNER_LIST[Role], MATCH(E27,OWNER_LIST[Owner Name], 0)))</f>
        <v>Change Manager</v>
      </c>
      <c r="C27" s="201" t="str">
        <f>IF(ISBLANK(E27), "", INDEX(OWNER_LIST[Owner ORG], MATCH(E27,OWNER_LIST[Owner Name], 0)))</f>
        <v>SHP</v>
      </c>
      <c r="D27" s="201" t="s">
        <v>23</v>
      </c>
      <c r="E27" s="203" t="s">
        <v>39</v>
      </c>
      <c r="F27" s="53"/>
      <c r="G27" s="53"/>
      <c r="H27" s="53"/>
      <c r="I27" s="53"/>
      <c r="J27" s="53"/>
      <c r="K27" s="53"/>
      <c r="L27" s="53"/>
      <c r="M27" s="53"/>
      <c r="N27" s="53"/>
      <c r="O27" s="53"/>
      <c r="P27" s="242"/>
      <c r="Q27" s="242"/>
      <c r="R27" s="242"/>
      <c r="S27" s="242"/>
      <c r="T27" s="242"/>
      <c r="U27" s="242"/>
      <c r="V27" s="242"/>
      <c r="W27" s="242"/>
      <c r="X27" s="242"/>
      <c r="Y27" s="242"/>
      <c r="Z27" s="242"/>
    </row>
    <row r="28" spans="1:26" s="52" customFormat="1" outlineLevel="1">
      <c r="A28" s="53"/>
      <c r="B28" s="202" t="str">
        <f>IF(ISBLANK(E28), "", INDEX(OWNER_LIST[Role], MATCH(E28,OWNER_LIST[Owner Name], 0)))</f>
        <v>Design Manager (DM)</v>
      </c>
      <c r="C28" s="201" t="str">
        <f>IF(ISBLANK(E28), "", INDEX(OWNER_LIST[Owner ORG], MATCH(E28,OWNER_LIST[Owner Name], 0)))</f>
        <v>SHP</v>
      </c>
      <c r="D28" s="201" t="s">
        <v>23</v>
      </c>
      <c r="E28" s="203" t="s">
        <v>40</v>
      </c>
      <c r="F28" s="53"/>
      <c r="G28" s="53"/>
      <c r="H28" s="53"/>
      <c r="I28" s="53"/>
      <c r="J28" s="53"/>
      <c r="K28" s="53"/>
      <c r="L28" s="53"/>
      <c r="M28" s="53"/>
      <c r="N28" s="53"/>
      <c r="O28" s="53"/>
      <c r="P28" s="242"/>
      <c r="Q28" s="242"/>
      <c r="R28" s="242"/>
      <c r="S28" s="242"/>
      <c r="T28" s="242"/>
      <c r="U28" s="242"/>
      <c r="V28" s="242"/>
      <c r="W28" s="242"/>
      <c r="X28" s="242"/>
      <c r="Y28" s="242"/>
      <c r="Z28" s="242"/>
    </row>
    <row r="29" spans="1:26" s="52" customFormat="1" outlineLevel="1">
      <c r="A29" s="53"/>
      <c r="B29" s="202" t="str">
        <f>IF(ISBLANK(E29), "", INDEX(OWNER_LIST[Role], MATCH(E29,OWNER_LIST[Owner Name], 0)))</f>
        <v>Senior Electrical Engineer</v>
      </c>
      <c r="C29" s="201" t="str">
        <f>IF(ISBLANK(E29), "", INDEX(OWNER_LIST[Owner ORG], MATCH(E29,OWNER_LIST[Owner Name], 0)))</f>
        <v>SHP</v>
      </c>
      <c r="D29" s="201" t="s">
        <v>23</v>
      </c>
      <c r="E29" s="203" t="s">
        <v>41</v>
      </c>
      <c r="F29" s="53"/>
      <c r="G29" s="53"/>
      <c r="H29" s="53"/>
      <c r="I29" s="53"/>
      <c r="J29" s="53"/>
      <c r="K29" s="53"/>
      <c r="L29" s="53"/>
      <c r="M29" s="53"/>
      <c r="N29" s="53"/>
      <c r="O29" s="53"/>
      <c r="P29" s="242"/>
      <c r="Q29" s="242"/>
      <c r="R29" s="242"/>
      <c r="S29" s="242"/>
      <c r="T29" s="242"/>
      <c r="U29" s="242"/>
      <c r="V29" s="242"/>
      <c r="W29" s="242"/>
      <c r="X29" s="242"/>
      <c r="Y29" s="242"/>
      <c r="Z29" s="242"/>
    </row>
    <row r="30" spans="1:26" s="52" customFormat="1" outlineLevel="1">
      <c r="A30" s="53"/>
      <c r="B30" s="243" t="str">
        <f>IF(ISBLANK(E30), "", INDEX(OWNER_LIST[Role], MATCH(E30,OWNER_LIST[Owner Name], 0)))</f>
        <v>Senior Electrical Engineer</v>
      </c>
      <c r="C30" s="244" t="str">
        <f>IF(ISBLANK(E30), "", INDEX(OWNER_LIST[Owner ORG], MATCH(E30,OWNER_LIST[Owner Name], 0)))</f>
        <v>SHP</v>
      </c>
      <c r="D30" s="244" t="s">
        <v>26</v>
      </c>
      <c r="E30" s="245" t="s">
        <v>42</v>
      </c>
      <c r="F30" s="53"/>
      <c r="G30" s="60"/>
      <c r="H30" s="60"/>
      <c r="I30" s="53"/>
      <c r="J30" s="53"/>
      <c r="K30" s="53"/>
      <c r="L30" s="53"/>
      <c r="M30" s="53"/>
      <c r="N30" s="53"/>
      <c r="O30" s="53"/>
      <c r="P30" s="242"/>
      <c r="Q30" s="242"/>
      <c r="R30" s="242"/>
      <c r="S30" s="242"/>
      <c r="T30" s="242"/>
      <c r="U30" s="242"/>
      <c r="V30" s="242"/>
      <c r="W30" s="242"/>
      <c r="X30" s="242"/>
      <c r="Y30" s="242"/>
      <c r="Z30" s="242"/>
    </row>
    <row r="31" spans="1:26" s="52" customFormat="1" outlineLevel="1">
      <c r="A31" s="188"/>
      <c r="B31" s="202" t="str">
        <f>IF(ISBLANK(E31), "", INDEX(OWNER_LIST[Role], MATCH(E31,OWNER_LIST[Owner Name], 0)))</f>
        <v>MEP Manager</v>
      </c>
      <c r="C31" s="201" t="str">
        <f>IF(ISBLANK(E31), "", INDEX(OWNER_LIST[Owner ORG], MATCH(E31,OWNER_LIST[Owner Name], 0)))</f>
        <v>SHP</v>
      </c>
      <c r="D31" s="201" t="s">
        <v>23</v>
      </c>
      <c r="E31" s="203" t="s">
        <v>38</v>
      </c>
      <c r="F31" s="53"/>
      <c r="G31" s="53"/>
      <c r="H31" s="53"/>
      <c r="I31" s="53"/>
      <c r="J31" s="53"/>
      <c r="K31" s="53"/>
      <c r="L31" s="53"/>
      <c r="M31" s="53"/>
      <c r="N31" s="53"/>
      <c r="O31" s="53"/>
      <c r="P31" s="242"/>
      <c r="Q31" s="242"/>
      <c r="R31" s="242"/>
      <c r="S31" s="242"/>
      <c r="T31" s="242"/>
      <c r="U31" s="242"/>
      <c r="V31" s="242"/>
      <c r="W31" s="242"/>
      <c r="X31" s="242"/>
      <c r="Y31" s="242"/>
      <c r="Z31" s="242"/>
    </row>
    <row r="32" spans="1:26" s="52" customFormat="1" outlineLevel="1">
      <c r="A32" s="53"/>
      <c r="B32" s="202" t="str">
        <f>IF(ISBLANK(E32), "", INDEX(OWNER_LIST[Role], MATCH(E32,OWNER_LIST[Owner Name], 0)))</f>
        <v>MEP Manager</v>
      </c>
      <c r="C32" s="201" t="str">
        <f>IF(ISBLANK(E32), "", INDEX(OWNER_LIST[Owner ORG], MATCH(E32,OWNER_LIST[Owner Name], 0)))</f>
        <v>SOMBP</v>
      </c>
      <c r="D32" s="201" t="s">
        <v>23</v>
      </c>
      <c r="E32" s="203" t="s">
        <v>43</v>
      </c>
      <c r="F32" s="53"/>
      <c r="G32" s="60"/>
      <c r="H32" s="60"/>
      <c r="I32" s="53"/>
      <c r="J32" s="53"/>
      <c r="K32" s="53"/>
      <c r="L32" s="53"/>
      <c r="M32" s="53"/>
      <c r="N32" s="53"/>
      <c r="O32" s="53"/>
      <c r="P32" s="242"/>
      <c r="Q32" s="242"/>
      <c r="R32" s="242"/>
      <c r="S32" s="242"/>
      <c r="T32" s="242"/>
      <c r="U32" s="242"/>
      <c r="V32" s="242"/>
      <c r="W32" s="242"/>
      <c r="X32" s="242"/>
      <c r="Y32" s="242"/>
      <c r="Z32" s="242"/>
    </row>
    <row r="33" spans="1:26" s="52" customFormat="1" outlineLevel="1">
      <c r="A33" s="188"/>
      <c r="B33" s="202" t="str">
        <f>IF(ISBLANK(E33), "", INDEX(OWNER_LIST[Role], MATCH(E33,OWNER_LIST[Owner Name], 0)))</f>
        <v>Architect</v>
      </c>
      <c r="C33" s="201" t="str">
        <f>IF(ISBLANK(E33), "", INDEX(OWNER_LIST[Owner ORG], MATCH(E33,OWNER_LIST[Owner Name], 0)))</f>
        <v>SOMBP</v>
      </c>
      <c r="D33" s="201" t="s">
        <v>23</v>
      </c>
      <c r="E33" s="203" t="s">
        <v>44</v>
      </c>
      <c r="F33" s="53"/>
      <c r="G33" s="60"/>
      <c r="H33" s="60"/>
      <c r="I33" s="53"/>
      <c r="J33" s="53"/>
      <c r="K33" s="53"/>
      <c r="L33" s="53"/>
      <c r="M33" s="53"/>
      <c r="N33" s="53"/>
      <c r="O33" s="53"/>
      <c r="P33" s="242"/>
      <c r="Q33" s="242"/>
      <c r="R33" s="242"/>
      <c r="S33" s="242"/>
      <c r="T33" s="242"/>
      <c r="U33" s="242"/>
      <c r="V33" s="242"/>
      <c r="W33" s="242"/>
      <c r="X33" s="242"/>
      <c r="Y33" s="242"/>
      <c r="Z33" s="242"/>
    </row>
    <row r="34" spans="1:26" s="52" customFormat="1" outlineLevel="1">
      <c r="A34" s="53"/>
      <c r="B34" s="202" t="str">
        <f>IF(ISBLANK(E34), "", INDEX(OWNER_LIST[Role], MATCH(E34,OWNER_LIST[Owner Name], 0)))</f>
        <v>Architect</v>
      </c>
      <c r="C34" s="201" t="str">
        <f>IF(ISBLANK(E34), "", INDEX(OWNER_LIST[Owner ORG], MATCH(E34,OWNER_LIST[Owner Name], 0)))</f>
        <v>SOMBP</v>
      </c>
      <c r="D34" s="201" t="s">
        <v>23</v>
      </c>
      <c r="E34" s="203" t="s">
        <v>45</v>
      </c>
      <c r="F34" s="53"/>
      <c r="G34" s="60"/>
      <c r="H34" s="60"/>
      <c r="I34" s="53"/>
      <c r="J34" s="53"/>
      <c r="K34" s="53"/>
      <c r="L34" s="53"/>
      <c r="M34" s="53"/>
      <c r="N34" s="53"/>
      <c r="O34" s="53"/>
      <c r="P34" s="242"/>
      <c r="Q34" s="242"/>
      <c r="R34" s="242"/>
      <c r="S34" s="242"/>
      <c r="T34" s="242"/>
      <c r="U34" s="242"/>
      <c r="V34" s="242"/>
      <c r="W34" s="242"/>
      <c r="X34" s="242"/>
      <c r="Y34" s="242"/>
      <c r="Z34" s="242"/>
    </row>
    <row r="35" spans="1:26" s="52" customFormat="1" outlineLevel="1">
      <c r="A35" s="53"/>
      <c r="B35" s="202" t="str">
        <f>IF(ISBLANK(E35), "", INDEX(OWNER_LIST[Role], MATCH(E35,OWNER_LIST[Owner Name], 0)))</f>
        <v>Quality Manager</v>
      </c>
      <c r="C35" s="201" t="str">
        <f>IF(ISBLANK(E35), "", INDEX(OWNER_LIST[Owner ORG], MATCH(E35,OWNER_LIST[Owner Name], 0)))</f>
        <v>SHP</v>
      </c>
      <c r="D35" s="201" t="s">
        <v>23</v>
      </c>
      <c r="E35" s="203" t="s">
        <v>46</v>
      </c>
      <c r="F35" s="53"/>
      <c r="G35" s="60"/>
      <c r="H35" s="60"/>
      <c r="I35" s="53"/>
      <c r="J35" s="53"/>
      <c r="K35" s="53"/>
      <c r="L35" s="53"/>
      <c r="M35" s="53"/>
      <c r="N35" s="53"/>
      <c r="O35" s="53"/>
      <c r="P35" s="242"/>
      <c r="Q35" s="242"/>
      <c r="R35" s="242"/>
      <c r="S35" s="242"/>
      <c r="T35" s="242"/>
      <c r="U35" s="242"/>
      <c r="V35" s="242"/>
      <c r="W35" s="242"/>
      <c r="X35" s="242"/>
      <c r="Y35" s="242"/>
      <c r="Z35" s="242"/>
    </row>
    <row r="36" spans="1:26">
      <c r="A36" s="31"/>
      <c r="B36" s="208"/>
      <c r="C36" s="198"/>
      <c r="D36" s="199" t="s">
        <v>4</v>
      </c>
      <c r="E36" s="198" t="s">
        <v>4</v>
      </c>
      <c r="F36" s="199" t="s">
        <v>4</v>
      </c>
      <c r="G36" s="200"/>
      <c r="H36" s="31"/>
      <c r="I36" s="31"/>
      <c r="J36" s="31"/>
      <c r="K36" s="31"/>
      <c r="L36" s="31"/>
      <c r="M36" s="31"/>
      <c r="N36" s="31"/>
      <c r="O36" s="31"/>
      <c r="P36" s="208"/>
      <c r="Q36" s="208"/>
      <c r="R36" s="208"/>
      <c r="S36" s="208"/>
      <c r="T36" s="208"/>
      <c r="U36" s="208"/>
      <c r="V36" s="208"/>
      <c r="W36" s="208"/>
      <c r="X36" s="208"/>
      <c r="Y36" s="208"/>
      <c r="Z36" s="208"/>
    </row>
    <row r="37" spans="1:26" ht="32.25">
      <c r="A37" s="49" t="s">
        <v>47</v>
      </c>
      <c r="B37" s="62" t="s">
        <v>48</v>
      </c>
      <c r="C37" s="62" t="s">
        <v>49</v>
      </c>
      <c r="D37" s="49" t="s">
        <v>50</v>
      </c>
      <c r="E37" s="62" t="s">
        <v>51</v>
      </c>
      <c r="F37" s="49" t="s">
        <v>52</v>
      </c>
      <c r="G37" s="62" t="s">
        <v>53</v>
      </c>
      <c r="H37" s="206" t="s">
        <v>54</v>
      </c>
      <c r="I37" s="49" t="s">
        <v>55</v>
      </c>
      <c r="J37" s="49" t="s">
        <v>56</v>
      </c>
      <c r="K37" s="49" t="s">
        <v>57</v>
      </c>
      <c r="L37" s="49" t="s">
        <v>58</v>
      </c>
      <c r="M37" s="206" t="s">
        <v>59</v>
      </c>
      <c r="N37" s="206" t="s">
        <v>60</v>
      </c>
      <c r="O37" s="49" t="s">
        <v>61</v>
      </c>
      <c r="P37" s="49" t="s">
        <v>62</v>
      </c>
      <c r="Q37" s="49" t="s">
        <v>63</v>
      </c>
      <c r="R37" s="49" t="s">
        <v>64</v>
      </c>
      <c r="S37" s="49" t="s">
        <v>65</v>
      </c>
      <c r="T37" s="49" t="s">
        <v>66</v>
      </c>
      <c r="U37" s="49" t="s">
        <v>67</v>
      </c>
      <c r="V37" s="49" t="s">
        <v>68</v>
      </c>
      <c r="W37" s="49" t="s">
        <v>8</v>
      </c>
      <c r="X37" s="49" t="s">
        <v>69</v>
      </c>
      <c r="Y37" s="208"/>
      <c r="Z37" s="208"/>
    </row>
    <row r="38" spans="1:26">
      <c r="A38" s="64" t="s">
        <v>70</v>
      </c>
      <c r="B38" s="65" t="s">
        <v>71</v>
      </c>
      <c r="C38" s="65"/>
      <c r="D38" s="64"/>
      <c r="E38" s="65"/>
      <c r="F38" s="64"/>
      <c r="G38" s="66"/>
      <c r="H38" s="67"/>
      <c r="I38" s="66"/>
      <c r="J38" s="64"/>
      <c r="K38" s="64"/>
      <c r="L38" s="64"/>
      <c r="M38" s="67"/>
      <c r="N38" s="67"/>
      <c r="O38" s="64"/>
      <c r="P38" s="64"/>
      <c r="Q38" s="227"/>
      <c r="R38" s="227"/>
      <c r="S38" s="227"/>
      <c r="T38" s="227"/>
      <c r="U38" s="227"/>
      <c r="V38" s="227"/>
      <c r="W38" s="227"/>
      <c r="X38" s="228" t="str">
        <f>IF(
    OR(
        AND(
            NOT(ISBLANK(C_1[[#This Row],[DESCRIPTION -  INFORMATION LOG]])),
            C_1[[#This Row],[DESCRIPTION -  INFORMATION LOG]] &lt;&gt; "DESCRIPTION -  INFORMATION LOG"
        ),
        NOT(ISBLANK(C_1[[#This Row],[ACTION REQUIRED]]))
    ),
    "Y",
    "N"
)</f>
        <v>N</v>
      </c>
      <c r="Y38" s="208"/>
      <c r="Z38" s="208"/>
    </row>
    <row r="39" spans="1:26" ht="30.75">
      <c r="A39" s="129" t="s">
        <v>72</v>
      </c>
      <c r="B39" s="309" t="s">
        <v>73</v>
      </c>
      <c r="C39" s="309"/>
      <c r="D39" s="309" t="s">
        <v>74</v>
      </c>
      <c r="E39" s="310" t="s">
        <v>75</v>
      </c>
      <c r="F39" s="310" t="s">
        <v>76</v>
      </c>
      <c r="G39" s="246" t="s">
        <v>77</v>
      </c>
      <c r="H39" s="93">
        <v>46050</v>
      </c>
      <c r="I39" s="132" t="str" cm="1">
        <f t="array" ref="I39">IFERROR(_xlfn.TEXTJOIN(" / ", TRUE, IF(OWNER_LIST[Owner Name]=C_1[[#This Row],[OWNER NAME 1]], OWNER_LIST[Owner ORG], ""), IF(OWNER_LIST[Owner Name]=C_1[[#This Row],[OWNER NAME 2]], OWNER_LIST[Owner ORG], "")), "")</f>
        <v>RPN</v>
      </c>
      <c r="J39" s="83" t="s">
        <v>25</v>
      </c>
      <c r="K39" s="83"/>
      <c r="L39" s="83"/>
      <c r="M39" s="133"/>
      <c r="N39" s="207"/>
      <c r="O39" s="208"/>
      <c r="P39" s="247"/>
      <c r="Q39" s="229"/>
      <c r="R39" s="229" t="str">
        <f xml:space="preserve"> _xlfn.CONCAT(C_1[[#This Row],[ESCALATE]], "-",C_1[[#This Row],[Row_PM]])</f>
        <v>-</v>
      </c>
      <c r="S39" s="229" t="str">
        <f xml:space="preserve"> _xlfn.CONCAT(C_1[[#This Row],[ESCALATE]], "-",C_1[[#This Row],[Notify_PM]])</f>
        <v>--</v>
      </c>
      <c r="T39" s="230">
        <f>ROW()</f>
        <v>39</v>
      </c>
      <c r="U39" s="231" t="str">
        <f>IF(C_1[[#This Row],[OWNER NAME 1]] = "", "",
   IF(_xlfn.XLOOKUP(C_1[[#This Row],[OWNER NAME 1]],OWNER_LIST[Owner Name], OWNER_LIST[Email], "") = "", "",
      _xlfn.XLOOKUP(C_1[[#This Row],[OWNER NAME 1]], OWNER_LIST[Owner Name], OWNER_LIST[Email], "")))</f>
        <v>matteo.naldi@cmbcarpi.it</v>
      </c>
      <c r="V39" s="231" t="str">
        <f>IF(C_1[[#This Row],[OWNER NAME 2]] = "", "",
   IF(_xlfn.XLOOKUP(C_1[[#This Row],[OWNER NAME 2]],OWNER_LIST[Owner Name], OWNER_LIST[Email], "") = "", "",
      _xlfn.XLOOKUP(C_1[[#This Row],[OWNER NAME 2]], OWNER_LIST[Owner Name], OWNER_LIST[Email], "")))</f>
        <v/>
      </c>
      <c r="W39" s="230" t="str">
        <f>$A$37</f>
        <v>C1</v>
      </c>
      <c r="X39" s="232" t="str">
        <f>IF(
    OR(
        AND(
            NOT(ISBLANK(C_1[[#This Row],[DESCRIPTION -  INFORMATION LOG]])),
            C_1[[#This Row],[DESCRIPTION -  INFORMATION LOG]] &lt;&gt; "DESCRIPTION -  INFORMATION LOG"
        ),
        NOT(ISBLANK(C_1[[#This Row],[ACTION REQUIRED]]))
    ),
    "Y",
    "N"
)</f>
        <v>Y</v>
      </c>
      <c r="Y39" s="208"/>
      <c r="Z39" s="208"/>
    </row>
    <row r="40" spans="1:26">
      <c r="A40" s="46"/>
      <c r="B40" s="46"/>
      <c r="C40" s="46"/>
      <c r="D40" s="46"/>
      <c r="E40" s="79"/>
      <c r="F40" s="46"/>
      <c r="G40" s="80"/>
      <c r="H40" s="81"/>
      <c r="I40" s="80" t="str" cm="1">
        <f t="array" ref="I40">IFERROR(_xlfn.TEXTJOIN(" / ", TRUE, IF(OWNER_LIST[Owner Name]=C_1[[#This Row],[OWNER NAME 1]], OWNER_LIST[Owner ORG], ""), IF(OWNER_LIST[Owner Name]=C_1[[#This Row],[OWNER NAME 2]], OWNER_LIST[Owner ORG], "")), "")</f>
        <v/>
      </c>
      <c r="J40" s="46"/>
      <c r="K40" s="46"/>
      <c r="L40" s="46"/>
      <c r="M40" s="82"/>
      <c r="N40" s="207"/>
      <c r="O40" s="208"/>
      <c r="P40" s="208"/>
      <c r="Q40" s="229"/>
      <c r="R40" s="229" t="str">
        <f xml:space="preserve"> _xlfn.CONCAT(C_1[[#This Row],[ESCALATE]], "-",C_1[[#This Row],[Row_PM]])</f>
        <v>-</v>
      </c>
      <c r="S40" s="229" t="str">
        <f xml:space="preserve"> _xlfn.CONCAT(C_1[[#This Row],[ESCALATE]], "-",C_1[[#This Row],[Notify_PM]])</f>
        <v>--</v>
      </c>
      <c r="T40" s="233">
        <f>ROW()</f>
        <v>40</v>
      </c>
      <c r="U40" s="231" t="str">
        <f>IF(C_1[[#This Row],[OWNER NAME 1]] = "", "",
   IF(_xlfn.XLOOKUP(C_1[[#This Row],[OWNER NAME 1]],OWNER_LIST[Owner Name], OWNER_LIST[Email], "") = "", "",
      _xlfn.XLOOKUP(C_1[[#This Row],[OWNER NAME 1]], OWNER_LIST[Owner Name], OWNER_LIST[Email], "")))</f>
        <v/>
      </c>
      <c r="V40" s="231" t="str">
        <f>IF(C_1[[#This Row],[OWNER NAME 2]] = "", "",
   IF(_xlfn.XLOOKUP(C_1[[#This Row],[OWNER NAME 2]],OWNER_LIST[Owner Name], OWNER_LIST[Email], "") = "", "",
      _xlfn.XLOOKUP(C_1[[#This Row],[OWNER NAME 2]], OWNER_LIST[Owner Name], OWNER_LIST[Email], "")))</f>
        <v/>
      </c>
      <c r="W40" s="233" t="str">
        <f t="shared" ref="W40:W44" si="0">$A$37</f>
        <v>C1</v>
      </c>
      <c r="X40" s="234" t="str">
        <f>IF(
    OR(
        AND(
            NOT(ISBLANK(C_1[[#This Row],[DESCRIPTION -  INFORMATION LOG]])),
            C_1[[#This Row],[DESCRIPTION -  INFORMATION LOG]] &lt;&gt; "DESCRIPTION -  INFORMATION LOG"
        ),
        NOT(ISBLANK(C_1[[#This Row],[ACTION REQUIRED]]))
    ),
    "Y",
    "N"
)</f>
        <v>N</v>
      </c>
      <c r="Y40" s="208"/>
      <c r="Z40" s="208"/>
    </row>
    <row r="41" spans="1:26">
      <c r="A41" s="64" t="s">
        <v>78</v>
      </c>
      <c r="B41" s="65" t="s">
        <v>6</v>
      </c>
      <c r="C41" s="65"/>
      <c r="D41" s="64"/>
      <c r="E41" s="65"/>
      <c r="F41" s="64"/>
      <c r="G41" s="66"/>
      <c r="H41" s="67"/>
      <c r="I41" s="66"/>
      <c r="J41" s="64"/>
      <c r="K41" s="64"/>
      <c r="L41" s="64"/>
      <c r="M41" s="67"/>
      <c r="N41" s="67"/>
      <c r="O41" s="64"/>
      <c r="P41" s="64"/>
      <c r="Q41" s="235"/>
      <c r="R41" s="235"/>
      <c r="S41" s="235"/>
      <c r="T41" s="236"/>
      <c r="U41" s="237"/>
      <c r="V41" s="237"/>
      <c r="W41" s="236"/>
      <c r="X41" s="228" t="str">
        <f>IF(
    OR(
        AND(
            NOT(ISBLANK(C_1[[#This Row],[DESCRIPTION -  INFORMATION LOG]])),
            C_1[[#This Row],[DESCRIPTION -  INFORMATION LOG]] &lt;&gt; "DESCRIPTION -  INFORMATION LOG"
        ),
        NOT(ISBLANK(C_1[[#This Row],[ACTION REQUIRED]]))
    ),
    "Y",
    "N"
)</f>
        <v>N</v>
      </c>
      <c r="Y41" s="208"/>
      <c r="Z41" s="208"/>
    </row>
    <row r="42" spans="1:26" ht="45.75">
      <c r="A42" s="129" t="s">
        <v>79</v>
      </c>
      <c r="B42" s="84" t="s">
        <v>80</v>
      </c>
      <c r="C42" s="129" t="s">
        <v>81</v>
      </c>
      <c r="D42" s="144" t="s">
        <v>82</v>
      </c>
      <c r="E42" s="294" t="s">
        <v>83</v>
      </c>
      <c r="F42" s="281" t="s">
        <v>84</v>
      </c>
      <c r="G42" s="283" t="s">
        <v>85</v>
      </c>
      <c r="H42" s="272">
        <v>46087</v>
      </c>
      <c r="I42" s="132" t="str" cm="1">
        <f t="array" ref="I42">IFERROR(_xlfn.TEXTJOIN(" / ", TRUE, IF(OWNER_LIST[Owner Name]=C_1[[#This Row],[OWNER NAME 1]], OWNER_LIST[Owner ORG], ""), IF(OWNER_LIST[Owner Name]=C_1[[#This Row],[OWNER NAME 2]], OWNER_LIST[Owner ORG], "")), "")</f>
        <v>RPN</v>
      </c>
      <c r="J42" s="129" t="s">
        <v>30</v>
      </c>
      <c r="K42" s="129"/>
      <c r="L42" s="129"/>
      <c r="M42" s="133"/>
      <c r="N42" s="207"/>
      <c r="O42" s="127"/>
      <c r="P42" s="127"/>
      <c r="Q42" s="229"/>
      <c r="R42" s="229" t="str">
        <f xml:space="preserve"> _xlfn.CONCAT(C_1[[#This Row],[ESCALATE]], "-",C_1[[#This Row],[Row_PM]])</f>
        <v>-</v>
      </c>
      <c r="S42" s="229" t="str">
        <f xml:space="preserve"> _xlfn.CONCAT(C_1[[#This Row],[ESCALATE]], "-",C_1[[#This Row],[Notify_PM]])</f>
        <v>--</v>
      </c>
      <c r="T42" s="230">
        <f>ROW()</f>
        <v>42</v>
      </c>
      <c r="U42" s="231" t="str">
        <f>IF(C_1[[#This Row],[OWNER NAME 1]] = "", "",
   IF(_xlfn.XLOOKUP(C_1[[#This Row],[OWNER NAME 1]],OWNER_LIST[Owner Name], OWNER_LIST[Email], "") = "", "",
      _xlfn.XLOOKUP(C_1[[#This Row],[OWNER NAME 1]], OWNER_LIST[Owner Name], OWNER_LIST[Email], "")))</f>
        <v>simone.conti@cmbcarpi.it</v>
      </c>
      <c r="V42" s="231" t="str">
        <f>IF(C_1[[#This Row],[OWNER NAME 2]] = "", "",
   IF(_xlfn.XLOOKUP(C_1[[#This Row],[OWNER NAME 2]],OWNER_LIST[Owner Name], OWNER_LIST[Email], "") = "", "",
      _xlfn.XLOOKUP(C_1[[#This Row],[OWNER NAME 2]], OWNER_LIST[Owner Name], OWNER_LIST[Email], "")))</f>
        <v/>
      </c>
      <c r="W42" s="230" t="str">
        <f t="shared" si="0"/>
        <v>C1</v>
      </c>
      <c r="X42" s="232" t="str">
        <f>IF(
    OR(
        AND(
            NOT(ISBLANK(C_1[[#This Row],[DESCRIPTION -  INFORMATION LOG]])),
            C_1[[#This Row],[DESCRIPTION -  INFORMATION LOG]] &lt;&gt; "DESCRIPTION -  INFORMATION LOG"
        ),
        NOT(ISBLANK(C_1[[#This Row],[ACTION REQUIRED]]))
    ),
    "Y",
    "N"
)</f>
        <v>Y</v>
      </c>
      <c r="Y42" s="208"/>
      <c r="Z42" s="208"/>
    </row>
    <row r="43" spans="1:26" ht="76.5">
      <c r="A43" s="129" t="s">
        <v>79</v>
      </c>
      <c r="B43" s="84" t="s">
        <v>80</v>
      </c>
      <c r="C43" s="129" t="s">
        <v>81</v>
      </c>
      <c r="D43" s="144" t="s">
        <v>82</v>
      </c>
      <c r="E43" s="248" t="s">
        <v>86</v>
      </c>
      <c r="F43" s="209" t="s">
        <v>87</v>
      </c>
      <c r="G43" s="284" t="s">
        <v>85</v>
      </c>
      <c r="H43" s="142"/>
      <c r="I43" s="132" t="str" cm="1">
        <f t="array" ref="I43">IFERROR(_xlfn.TEXTJOIN(" / ", TRUE, IF(OWNER_LIST[Owner Name]=C_1[[#This Row],[OWNER NAME 1]], OWNER_LIST[Owner ORG], ""), IF(OWNER_LIST[Owner Name]=C_1[[#This Row],[OWNER NAME 2]], OWNER_LIST[Owner ORG], "")), "")</f>
        <v/>
      </c>
      <c r="J43" s="83"/>
      <c r="K43" s="83"/>
      <c r="L43" s="83"/>
      <c r="M43" s="133"/>
      <c r="N43" s="207"/>
      <c r="O43" s="208"/>
      <c r="P43" s="127"/>
      <c r="Q43" s="229"/>
      <c r="R43" s="229" t="str">
        <f xml:space="preserve"> _xlfn.CONCAT(C_1[[#This Row],[ESCALATE]], "-",C_1[[#This Row],[Row_PM]])</f>
        <v>-</v>
      </c>
      <c r="S43" s="229" t="str">
        <f xml:space="preserve"> _xlfn.CONCAT(C_1[[#This Row],[ESCALATE]], "-",C_1[[#This Row],[Notify_PM]])</f>
        <v>--</v>
      </c>
      <c r="T43" s="230">
        <f>ROW()</f>
        <v>43</v>
      </c>
      <c r="U43" s="231" t="str">
        <f>IF(C_1[[#This Row],[OWNER NAME 1]] = "", "",
   IF(_xlfn.XLOOKUP(C_1[[#This Row],[OWNER NAME 1]],OWNER_LIST[Owner Name], OWNER_LIST[Email], "") = "", "",
      _xlfn.XLOOKUP(C_1[[#This Row],[OWNER NAME 1]], OWNER_LIST[Owner Name], OWNER_LIST[Email], "")))</f>
        <v/>
      </c>
      <c r="V43" s="231" t="str">
        <f>IF(C_1[[#This Row],[OWNER NAME 2]] = "", "",
   IF(_xlfn.XLOOKUP(C_1[[#This Row],[OWNER NAME 2]],OWNER_LIST[Owner Name], OWNER_LIST[Email], "") = "", "",
      _xlfn.XLOOKUP(C_1[[#This Row],[OWNER NAME 2]], OWNER_LIST[Owner Name], OWNER_LIST[Email], "")))</f>
        <v/>
      </c>
      <c r="W43" s="230" t="str">
        <f>$A$37</f>
        <v>C1</v>
      </c>
      <c r="X43" s="232" t="str">
        <f>IF(
    OR(
        AND(
            NOT(ISBLANK(C_1[[#This Row],[DESCRIPTION -  INFORMATION LOG]])),
            C_1[[#This Row],[DESCRIPTION -  INFORMATION LOG]] &lt;&gt; "DESCRIPTION -  INFORMATION LOG"
        ),
        NOT(ISBLANK(C_1[[#This Row],[ACTION REQUIRED]]))
    ),
    "Y",
    "N"
)</f>
        <v>Y</v>
      </c>
      <c r="Y43" s="208"/>
      <c r="Z43" s="208"/>
    </row>
    <row r="44" spans="1:26" ht="91.5">
      <c r="A44" s="129" t="s">
        <v>79</v>
      </c>
      <c r="B44" s="193" t="s">
        <v>88</v>
      </c>
      <c r="C44" s="129" t="s">
        <v>81</v>
      </c>
      <c r="D44" s="144" t="s">
        <v>82</v>
      </c>
      <c r="E44" s="304">
        <v>0.6</v>
      </c>
      <c r="F44" s="274" t="s">
        <v>89</v>
      </c>
      <c r="G44" s="285" t="s">
        <v>90</v>
      </c>
      <c r="H44" s="142"/>
      <c r="I44" s="132" t="str" cm="1">
        <f t="array" ref="I44">IFERROR(_xlfn.TEXTJOIN(" / ", TRUE, IF(OWNER_LIST[Owner Name]=C_1[[#This Row],[OWNER NAME 1]], OWNER_LIST[Owner ORG], ""), IF(OWNER_LIST[Owner Name]=C_1[[#This Row],[OWNER NAME 2]], OWNER_LIST[Owner ORG], "")), "")</f>
        <v/>
      </c>
      <c r="J44" s="129"/>
      <c r="K44" s="129"/>
      <c r="L44" s="129"/>
      <c r="M44" s="133"/>
      <c r="N44" s="207"/>
      <c r="O44" s="127"/>
      <c r="P44" s="127"/>
      <c r="Q44" s="229"/>
      <c r="R44" s="229" t="str">
        <f xml:space="preserve"> _xlfn.CONCAT(C_1[[#This Row],[ESCALATE]], "-",C_1[[#This Row],[Row_PM]])</f>
        <v>-</v>
      </c>
      <c r="S44" s="229" t="str">
        <f xml:space="preserve"> _xlfn.CONCAT(C_1[[#This Row],[ESCALATE]], "-",C_1[[#This Row],[Notify_PM]])</f>
        <v>--</v>
      </c>
      <c r="T44" s="230">
        <f>ROW()</f>
        <v>44</v>
      </c>
      <c r="U44" s="231" t="str">
        <f>IF(C_1[[#This Row],[OWNER NAME 1]] = "", "",
   IF(_xlfn.XLOOKUP(C_1[[#This Row],[OWNER NAME 1]],OWNER_LIST[Owner Name], OWNER_LIST[Email], "") = "", "",
      _xlfn.XLOOKUP(C_1[[#This Row],[OWNER NAME 1]], OWNER_LIST[Owner Name], OWNER_LIST[Email], "")))</f>
        <v/>
      </c>
      <c r="V44" s="231" t="str">
        <f>IF(C_1[[#This Row],[OWNER NAME 2]] = "", "",
   IF(_xlfn.XLOOKUP(C_1[[#This Row],[OWNER NAME 2]],OWNER_LIST[Owner Name], OWNER_LIST[Email], "") = "", "",
      _xlfn.XLOOKUP(C_1[[#This Row],[OWNER NAME 2]], OWNER_LIST[Owner Name], OWNER_LIST[Email], "")))</f>
        <v/>
      </c>
      <c r="W44" s="230" t="str">
        <f t="shared" si="0"/>
        <v>C1</v>
      </c>
      <c r="X44" s="232" t="str">
        <f>IF(
    OR(
        AND(
            NOT(ISBLANK(C_1[[#This Row],[DESCRIPTION -  INFORMATION LOG]])),
            C_1[[#This Row],[DESCRIPTION -  INFORMATION LOG]] &lt;&gt; "DESCRIPTION -  INFORMATION LOG"
        ),
        NOT(ISBLANK(C_1[[#This Row],[ACTION REQUIRED]]))
    ),
    "Y",
    "N"
)</f>
        <v>Y</v>
      </c>
      <c r="Y44" s="208"/>
      <c r="Z44" s="208"/>
    </row>
    <row r="45" spans="1:26">
      <c r="A45" s="129" t="s">
        <v>79</v>
      </c>
      <c r="B45" s="193" t="s">
        <v>91</v>
      </c>
      <c r="C45" s="129" t="s">
        <v>81</v>
      </c>
      <c r="D45" s="144" t="s">
        <v>82</v>
      </c>
      <c r="E45" s="249" t="s">
        <v>92</v>
      </c>
      <c r="F45" s="250"/>
      <c r="G45" s="286" t="s">
        <v>93</v>
      </c>
      <c r="H45" s="272"/>
      <c r="I45" s="132" t="str" cm="1">
        <f t="array" ref="I45">IFERROR(_xlfn.TEXTJOIN(" / ", TRUE, IF(OWNER_LIST[Owner Name]=C_1[[#This Row],[OWNER NAME 1]], OWNER_LIST[Owner ORG], ""), IF(OWNER_LIST[Owner Name]=C_1[[#This Row],[OWNER NAME 2]], OWNER_LIST[Owner ORG], "")), "")</f>
        <v/>
      </c>
      <c r="J45" s="143"/>
      <c r="K45" s="143"/>
      <c r="L45" s="83"/>
      <c r="M45" s="133"/>
      <c r="N45" s="207"/>
      <c r="O45" s="208"/>
      <c r="P45" s="127"/>
      <c r="Q45" s="229"/>
      <c r="R45" s="229" t="str">
        <f xml:space="preserve"> _xlfn.CONCAT(C_1[[#This Row],[ESCALATE]], "-",C_1[[#This Row],[Row_PM]])</f>
        <v>-</v>
      </c>
      <c r="S45" s="229" t="str">
        <f xml:space="preserve"> _xlfn.CONCAT(C_1[[#This Row],[ESCALATE]], "-",C_1[[#This Row],[Notify_PM]])</f>
        <v>--</v>
      </c>
      <c r="T45" s="230">
        <f>ROW()</f>
        <v>45</v>
      </c>
      <c r="U45" s="231" t="str">
        <f>IF(C_1[[#This Row],[OWNER NAME 1]] = "", "",
   IF(_xlfn.XLOOKUP(C_1[[#This Row],[OWNER NAME 1]],OWNER_LIST[Owner Name], OWNER_LIST[Email], "") = "", "",
      _xlfn.XLOOKUP(C_1[[#This Row],[OWNER NAME 1]], OWNER_LIST[Owner Name], OWNER_LIST[Email], "")))</f>
        <v/>
      </c>
      <c r="V45" s="231" t="str">
        <f>IF(C_1[[#This Row],[OWNER NAME 2]] = "", "",
   IF(_xlfn.XLOOKUP(C_1[[#This Row],[OWNER NAME 2]],OWNER_LIST[Owner Name], OWNER_LIST[Email], "") = "", "",
      _xlfn.XLOOKUP(C_1[[#This Row],[OWNER NAME 2]], OWNER_LIST[Owner Name], OWNER_LIST[Email], "")))</f>
        <v/>
      </c>
      <c r="W45" s="230" t="str">
        <f>$A$37</f>
        <v>C1</v>
      </c>
      <c r="X45" s="232" t="str">
        <f>IF(
    OR(
        AND(
            NOT(ISBLANK(C_1[[#This Row],[DESCRIPTION -  INFORMATION LOG]])),
            C_1[[#This Row],[DESCRIPTION -  INFORMATION LOG]] &lt;&gt; "DESCRIPTION -  INFORMATION LOG"
        ),
        NOT(ISBLANK(C_1[[#This Row],[ACTION REQUIRED]]))
    ),
    "Y",
    "N"
)</f>
        <v>Y</v>
      </c>
      <c r="Y45" s="208"/>
      <c r="Z45" s="208"/>
    </row>
    <row r="46" spans="1:26" ht="76.5">
      <c r="A46" s="129" t="s">
        <v>79</v>
      </c>
      <c r="B46" s="205" t="s">
        <v>94</v>
      </c>
      <c r="C46" s="260" t="s">
        <v>95</v>
      </c>
      <c r="D46" s="269" t="s">
        <v>82</v>
      </c>
      <c r="E46" s="299" t="s">
        <v>96</v>
      </c>
      <c r="F46" s="281" t="s">
        <v>97</v>
      </c>
      <c r="G46" s="300" t="s">
        <v>77</v>
      </c>
      <c r="H46" s="272">
        <v>46080</v>
      </c>
      <c r="I46" s="132" t="str" cm="1">
        <f t="array" ref="I46">IFERROR(_xlfn.TEXTJOIN(" / ", TRUE, IF(OWNER_LIST[Owner Name]=C_1[[#This Row],[OWNER NAME 1]], OWNER_LIST[Owner ORG], ""), IF(OWNER_LIST[Owner Name]=C_1[[#This Row],[OWNER NAME 2]], OWNER_LIST[Owner ORG], "")), "")</f>
        <v>RPN / SHP</v>
      </c>
      <c r="J46" s="266" t="s">
        <v>98</v>
      </c>
      <c r="K46" s="266" t="s">
        <v>46</v>
      </c>
      <c r="L46" s="262"/>
      <c r="M46" s="263"/>
      <c r="N46" s="312"/>
      <c r="O46" s="313"/>
      <c r="P46" s="268"/>
      <c r="Q46" s="229"/>
      <c r="R46" s="229" t="str">
        <f xml:space="preserve"> _xlfn.CONCAT(C_1[[#This Row],[ESCALATE]], "-",C_1[[#This Row],[Row_PM]])</f>
        <v>-</v>
      </c>
      <c r="S46" s="229" t="str">
        <f xml:space="preserve"> _xlfn.CONCAT(C_1[[#This Row],[ESCALATE]], "-",C_1[[#This Row],[Notify_PM]])</f>
        <v>--</v>
      </c>
      <c r="T46" s="230">
        <f>ROW()</f>
        <v>46</v>
      </c>
      <c r="U46" s="231" t="str">
        <f>IF(C_1[[#This Row],[OWNER NAME 1]] = "", "",
   IF(_xlfn.XLOOKUP(C_1[[#This Row],[OWNER NAME 1]],OWNER_LIST[Owner Name], OWNER_LIST[Email], "") = "", "",
      _xlfn.XLOOKUP(C_1[[#This Row],[OWNER NAME 1]], OWNER_LIST[Owner Name], OWNER_LIST[Email], "")))</f>
        <v>davide.cirillo@cmbcarpi.it</v>
      </c>
      <c r="V46" s="231" t="str">
        <f>IF(C_1[[#This Row],[OWNER NAME 2]] = "", "",
   IF(_xlfn.XLOOKUP(C_1[[#This Row],[OWNER NAME 2]],OWNER_LIST[Owner Name], OWNER_LIST[Email], "") = "", "",
      _xlfn.XLOOKUP(C_1[[#This Row],[OWNER NAME 2]], OWNER_LIST[Owner Name], OWNER_LIST[Email], "")))</f>
        <v>didier.dequatre@un.org</v>
      </c>
      <c r="W46" s="230" t="str">
        <f>$A$37</f>
        <v>C1</v>
      </c>
      <c r="X46" s="232" t="str">
        <f>IF(
    OR(
        AND(
            NOT(ISBLANK(C_1[[#This Row],[DESCRIPTION -  INFORMATION LOG]])),
            C_1[[#This Row],[DESCRIPTION -  INFORMATION LOG]] &lt;&gt; "DESCRIPTION -  INFORMATION LOG"
        ),
        NOT(ISBLANK(C_1[[#This Row],[ACTION REQUIRED]]))
    ),
    "Y",
    "N"
)</f>
        <v>Y</v>
      </c>
      <c r="Y46" s="208"/>
      <c r="Z46" s="208"/>
    </row>
    <row r="47" spans="1:26" ht="30.75">
      <c r="A47" s="260" t="s">
        <v>99</v>
      </c>
      <c r="B47" s="271" t="s">
        <v>100</v>
      </c>
      <c r="C47" s="260" t="s">
        <v>81</v>
      </c>
      <c r="D47" s="269" t="s">
        <v>82</v>
      </c>
      <c r="E47" s="260" t="s">
        <v>101</v>
      </c>
      <c r="F47" s="259" t="s">
        <v>102</v>
      </c>
      <c r="G47" s="286" t="s">
        <v>93</v>
      </c>
      <c r="H47" s="272">
        <v>46094</v>
      </c>
      <c r="I47" s="132" t="str" cm="1">
        <f t="array" ref="I47">IFERROR(_xlfn.TEXTJOIN(" / ", TRUE, IF(OWNER_LIST[Owner Name]=C_1[[#This Row],[OWNER NAME 1]], OWNER_LIST[Owner ORG], ""), IF(OWNER_LIST[Owner Name]=C_1[[#This Row],[OWNER NAME 2]], OWNER_LIST[Owner ORG], "")), "")</f>
        <v>SHP / SHP</v>
      </c>
      <c r="J47" s="266" t="s">
        <v>103</v>
      </c>
      <c r="K47" s="266" t="s">
        <v>40</v>
      </c>
      <c r="L47" s="262"/>
      <c r="M47" s="263"/>
      <c r="N47" s="312"/>
      <c r="O47" s="313"/>
      <c r="P47" s="268"/>
      <c r="Q47" s="229"/>
      <c r="R47" s="229" t="str">
        <f xml:space="preserve"> _xlfn.CONCAT(C_1[[#This Row],[ESCALATE]], "-",C_1[[#This Row],[Row_PM]])</f>
        <v>-</v>
      </c>
      <c r="S47" s="229" t="str">
        <f xml:space="preserve"> _xlfn.CONCAT(C_1[[#This Row],[ESCALATE]], "-",C_1[[#This Row],[Notify_PM]])</f>
        <v>--</v>
      </c>
      <c r="T47" s="230">
        <f>ROW()</f>
        <v>47</v>
      </c>
      <c r="U47" s="231" t="str">
        <f>IF(C_1[[#This Row],[OWNER NAME 1]] = "", "",
   IF(_xlfn.XLOOKUP(C_1[[#This Row],[OWNER NAME 1]],OWNER_LIST[Owner Name], OWNER_LIST[Email], "") = "", "",
      _xlfn.XLOOKUP(C_1[[#This Row],[OWNER NAME 1]], OWNER_LIST[Owner Name], OWNER_LIST[Email], "")))</f>
        <v>donatella.rocca@un.org</v>
      </c>
      <c r="V47" s="231" t="str">
        <f>IF(C_1[[#This Row],[OWNER NAME 2]] = "", "",
   IF(_xlfn.XLOOKUP(C_1[[#This Row],[OWNER NAME 2]],OWNER_LIST[Owner Name], OWNER_LIST[Email], "") = "", "",
      _xlfn.XLOOKUP(C_1[[#This Row],[OWNER NAME 2]], OWNER_LIST[Owner Name], OWNER_LIST[Email], "")))</f>
        <v>jean.ferre@un.org</v>
      </c>
      <c r="W47" s="230" t="str">
        <f>$A$37</f>
        <v>C1</v>
      </c>
      <c r="X47" s="232" t="str">
        <f>IF(
    OR(
        AND(
            NOT(ISBLANK(C_1[[#This Row],[DESCRIPTION -  INFORMATION LOG]])),
            C_1[[#This Row],[DESCRIPTION -  INFORMATION LOG]] &lt;&gt; "DESCRIPTION -  INFORMATION LOG"
        ),
        NOT(ISBLANK(C_1[[#This Row],[ACTION REQUIRED]]))
    ),
    "Y",
    "N"
)</f>
        <v>Y</v>
      </c>
      <c r="Y47" s="208"/>
      <c r="Z47" s="208"/>
    </row>
    <row r="48" spans="1:26" ht="60.75">
      <c r="A48" s="129" t="s">
        <v>79</v>
      </c>
      <c r="B48" s="87" t="s">
        <v>104</v>
      </c>
      <c r="C48" s="129" t="s">
        <v>81</v>
      </c>
      <c r="D48" s="144" t="s">
        <v>82</v>
      </c>
      <c r="E48" s="194" t="s">
        <v>105</v>
      </c>
      <c r="F48" s="129"/>
      <c r="G48" s="285" t="s">
        <v>90</v>
      </c>
      <c r="H48" s="142">
        <v>45811</v>
      </c>
      <c r="I48" s="132" t="str" cm="1">
        <f t="array" ref="I48">IFERROR(_xlfn.TEXTJOIN(" / ", TRUE, IF(OWNER_LIST[Owner Name]=C_1[[#This Row],[OWNER NAME 1]], OWNER_LIST[Owner ORG], ""), IF(OWNER_LIST[Owner Name]=C_1[[#This Row],[OWNER NAME 2]], OWNER_LIST[Owner ORG], "")), "")</f>
        <v>RPN</v>
      </c>
      <c r="J48" s="136" t="s">
        <v>31</v>
      </c>
      <c r="K48" s="136"/>
      <c r="L48" s="83"/>
      <c r="M48" s="133"/>
      <c r="N48" s="207"/>
      <c r="O48" s="208"/>
      <c r="P48" s="127"/>
      <c r="Q48" s="229"/>
      <c r="R48" s="229" t="str">
        <f xml:space="preserve"> _xlfn.CONCAT(C_1[[#This Row],[ESCALATE]], "-",C_1[[#This Row],[Row_PM]])</f>
        <v>-</v>
      </c>
      <c r="S48" s="229" t="str">
        <f xml:space="preserve"> _xlfn.CONCAT(C_1[[#This Row],[ESCALATE]], "-",C_1[[#This Row],[Notify_PM]])</f>
        <v>--</v>
      </c>
      <c r="T48" s="230">
        <f>ROW()</f>
        <v>48</v>
      </c>
      <c r="U48" s="231" t="str">
        <f>IF(C_1[[#This Row],[OWNER NAME 1]] = "", "",
   IF(_xlfn.XLOOKUP(C_1[[#This Row],[OWNER NAME 1]],OWNER_LIST[Owner Name], OWNER_LIST[Email], "") = "", "",
      _xlfn.XLOOKUP(C_1[[#This Row],[OWNER NAME 1]], OWNER_LIST[Owner Name], OWNER_LIST[Email], "")))</f>
        <v>martina.maffioletti@rpn-sa.ch</v>
      </c>
      <c r="V48" s="231" t="str">
        <f>IF(C_1[[#This Row],[OWNER NAME 2]] = "", "",
   IF(_xlfn.XLOOKUP(C_1[[#This Row],[OWNER NAME 2]],OWNER_LIST[Owner Name], OWNER_LIST[Email], "") = "", "",
      _xlfn.XLOOKUP(C_1[[#This Row],[OWNER NAME 2]], OWNER_LIST[Owner Name], OWNER_LIST[Email], "")))</f>
        <v/>
      </c>
      <c r="W48" s="230" t="str">
        <f>$A$37</f>
        <v>C1</v>
      </c>
      <c r="X48" s="232" t="str">
        <f>IF(
    OR(
        AND(
            NOT(ISBLANK(C_1[[#This Row],[DESCRIPTION -  INFORMATION LOG]])),
            C_1[[#This Row],[DESCRIPTION -  INFORMATION LOG]] &lt;&gt; "DESCRIPTION -  INFORMATION LOG"
        ),
        NOT(ISBLANK(C_1[[#This Row],[ACTION REQUIRED]]))
    ),
    "Y",
    "N"
)</f>
        <v>Y</v>
      </c>
      <c r="Y48" s="208"/>
      <c r="Z48" s="208"/>
    </row>
    <row r="49" spans="1:26" ht="30.75">
      <c r="A49" s="129" t="s">
        <v>79</v>
      </c>
      <c r="B49" s="271" t="s">
        <v>106</v>
      </c>
      <c r="C49" s="260" t="s">
        <v>95</v>
      </c>
      <c r="D49" s="269" t="s">
        <v>82</v>
      </c>
      <c r="E49" s="311" t="s">
        <v>107</v>
      </c>
      <c r="F49" s="259" t="s">
        <v>108</v>
      </c>
      <c r="G49" s="287" t="s">
        <v>77</v>
      </c>
      <c r="H49" s="272">
        <v>46057</v>
      </c>
      <c r="I49" s="132" t="str" cm="1">
        <f t="array" ref="I49">IFERROR(_xlfn.TEXTJOIN(" / ", TRUE, IF(OWNER_LIST[Owner Name]=C_1[[#This Row],[OWNER NAME 1]], OWNER_LIST[Owner ORG], ""), IF(OWNER_LIST[Owner Name]=C_1[[#This Row],[OWNER NAME 2]], OWNER_LIST[Owner ORG], "")), "")</f>
        <v>RPN</v>
      </c>
      <c r="J49" s="266" t="s">
        <v>25</v>
      </c>
      <c r="K49" s="266"/>
      <c r="L49" s="262"/>
      <c r="M49" s="263"/>
      <c r="N49" s="312"/>
      <c r="O49" s="313"/>
      <c r="P49" s="268"/>
      <c r="Q49" s="229"/>
      <c r="R49" s="229" t="str">
        <f xml:space="preserve"> _xlfn.CONCAT(C_1[[#This Row],[ESCALATE]], "-",C_1[[#This Row],[Row_PM]])</f>
        <v>-</v>
      </c>
      <c r="S49" s="229" t="str">
        <f xml:space="preserve"> _xlfn.CONCAT(C_1[[#This Row],[ESCALATE]], "-",C_1[[#This Row],[Notify_PM]])</f>
        <v>--</v>
      </c>
      <c r="T49" s="230">
        <f>ROW()</f>
        <v>49</v>
      </c>
      <c r="U49" s="231" t="str">
        <f>IF(C_1[[#This Row],[OWNER NAME 1]] = "", "",
   IF(_xlfn.XLOOKUP(C_1[[#This Row],[OWNER NAME 1]],OWNER_LIST[Owner Name], OWNER_LIST[Email], "") = "", "",
      _xlfn.XLOOKUP(C_1[[#This Row],[OWNER NAME 1]], OWNER_LIST[Owner Name], OWNER_LIST[Email], "")))</f>
        <v>matteo.naldi@cmbcarpi.it</v>
      </c>
      <c r="V49" s="231" t="str">
        <f>IF(C_1[[#This Row],[OWNER NAME 2]] = "", "",
   IF(_xlfn.XLOOKUP(C_1[[#This Row],[OWNER NAME 2]],OWNER_LIST[Owner Name], OWNER_LIST[Email], "") = "", "",
      _xlfn.XLOOKUP(C_1[[#This Row],[OWNER NAME 2]], OWNER_LIST[Owner Name], OWNER_LIST[Email], "")))</f>
        <v/>
      </c>
      <c r="W49" s="230" t="str">
        <f>$A$37</f>
        <v>C1</v>
      </c>
      <c r="X49" s="232" t="str">
        <f>IF(
    OR(
        AND(
            NOT(ISBLANK(C_1[[#This Row],[DESCRIPTION -  INFORMATION LOG]])),
            C_1[[#This Row],[DESCRIPTION -  INFORMATION LOG]] &lt;&gt; "DESCRIPTION -  INFORMATION LOG"
        ),
        NOT(ISBLANK(C_1[[#This Row],[ACTION REQUIRED]]))
    ),
    "Y",
    "N"
)</f>
        <v>Y</v>
      </c>
      <c r="Y49" s="208"/>
      <c r="Z49" s="208"/>
    </row>
    <row r="50" spans="1:26" ht="137.25">
      <c r="A50" s="129" t="s">
        <v>79</v>
      </c>
      <c r="B50" s="205" t="s">
        <v>109</v>
      </c>
      <c r="C50" s="129" t="s">
        <v>81</v>
      </c>
      <c r="D50" s="144" t="s">
        <v>82</v>
      </c>
      <c r="E50" s="260" t="s">
        <v>110</v>
      </c>
      <c r="F50" s="259" t="s">
        <v>111</v>
      </c>
      <c r="G50" s="288" t="s">
        <v>77</v>
      </c>
      <c r="H50" s="142">
        <v>46086</v>
      </c>
      <c r="I50" s="132" t="str" cm="1">
        <f t="array" ref="I50">IFERROR(_xlfn.TEXTJOIN(" / ", TRUE, IF(OWNER_LIST[Owner Name]=C_1[[#This Row],[OWNER NAME 1]], OWNER_LIST[Owner ORG], ""), IF(OWNER_LIST[Owner Name]=C_1[[#This Row],[OWNER NAME 2]], OWNER_LIST[Owner ORG], "")), "")</f>
        <v>RPN</v>
      </c>
      <c r="J50" s="143" t="s">
        <v>28</v>
      </c>
      <c r="K50" s="143"/>
      <c r="L50" s="83"/>
      <c r="M50" s="133"/>
      <c r="N50" s="207"/>
      <c r="O50" s="208"/>
      <c r="P50" s="127"/>
      <c r="Q50" s="229"/>
      <c r="R50" s="229" t="str">
        <f xml:space="preserve"> _xlfn.CONCAT(C_1[[#This Row],[ESCALATE]], "-",C_1[[#This Row],[Row_PM]])</f>
        <v>-</v>
      </c>
      <c r="S50" s="229" t="str">
        <f xml:space="preserve"> _xlfn.CONCAT(C_1[[#This Row],[ESCALATE]], "-",C_1[[#This Row],[Notify_PM]])</f>
        <v>--</v>
      </c>
      <c r="T50" s="230">
        <f>ROW()</f>
        <v>50</v>
      </c>
      <c r="U50" s="231" t="str">
        <f>IF(C_1[[#This Row],[OWNER NAME 1]] = "", "",
   IF(_xlfn.XLOOKUP(C_1[[#This Row],[OWNER NAME 1]],OWNER_LIST[Owner Name], OWNER_LIST[Email], "") = "", "",
      _xlfn.XLOOKUP(C_1[[#This Row],[OWNER NAME 1]], OWNER_LIST[Owner Name], OWNER_LIST[Email], "")))</f>
        <v>federica.brunone@cmbcarpi.it</v>
      </c>
      <c r="V50" s="231" t="str">
        <f>IF(C_1[[#This Row],[OWNER NAME 2]] = "", "",
   IF(_xlfn.XLOOKUP(C_1[[#This Row],[OWNER NAME 2]],OWNER_LIST[Owner Name], OWNER_LIST[Email], "") = "", "",
      _xlfn.XLOOKUP(C_1[[#This Row],[OWNER NAME 2]], OWNER_LIST[Owner Name], OWNER_LIST[Email], "")))</f>
        <v/>
      </c>
      <c r="W50" s="230" t="str">
        <f>$A$37</f>
        <v>C1</v>
      </c>
      <c r="X50" s="232" t="str">
        <f>IF(
    OR(
        AND(
            NOT(ISBLANK(C_1[[#This Row],[DESCRIPTION -  INFORMATION LOG]])),
            C_1[[#This Row],[DESCRIPTION -  INFORMATION LOG]] &lt;&gt; "DESCRIPTION -  INFORMATION LOG"
        ),
        NOT(ISBLANK(C_1[[#This Row],[ACTION REQUIRED]]))
    ),
    "Y",
    "N"
)</f>
        <v>Y</v>
      </c>
      <c r="Y50" s="208"/>
      <c r="Z50" s="208"/>
    </row>
    <row r="51" spans="1:26" ht="30.75">
      <c r="A51" s="129" t="s">
        <v>79</v>
      </c>
      <c r="B51" s="295" t="s">
        <v>112</v>
      </c>
      <c r="C51" s="129" t="s">
        <v>95</v>
      </c>
      <c r="D51" s="269" t="s">
        <v>82</v>
      </c>
      <c r="E51" s="259" t="s">
        <v>113</v>
      </c>
      <c r="F51" s="259" t="s">
        <v>114</v>
      </c>
      <c r="G51" s="287" t="s">
        <v>85</v>
      </c>
      <c r="H51" s="272">
        <v>46142</v>
      </c>
      <c r="I51" s="132" t="str" cm="1">
        <f t="array" ref="I51">IFERROR(_xlfn.TEXTJOIN(" / ", TRUE, IF(OWNER_LIST[Owner Name]=C_1[[#This Row],[OWNER NAME 1]], OWNER_LIST[Owner ORG], ""), IF(OWNER_LIST[Owner Name]=C_1[[#This Row],[OWNER NAME 2]], OWNER_LIST[Owner ORG], "")), "")</f>
        <v>RPN / RPN</v>
      </c>
      <c r="J51" s="266" t="s">
        <v>31</v>
      </c>
      <c r="K51" s="266" t="s">
        <v>115</v>
      </c>
      <c r="L51" s="262"/>
      <c r="M51" s="263"/>
      <c r="N51" s="312"/>
      <c r="O51" s="313"/>
      <c r="P51" s="268"/>
      <c r="Q51" s="229"/>
      <c r="R51" s="229" t="str">
        <f xml:space="preserve"> _xlfn.CONCAT(C_1[[#This Row],[ESCALATE]], "-",C_1[[#This Row],[Row_PM]])</f>
        <v>-</v>
      </c>
      <c r="S51" s="229" t="str">
        <f xml:space="preserve"> _xlfn.CONCAT(C_1[[#This Row],[ESCALATE]], "-",C_1[[#This Row],[Notify_PM]])</f>
        <v>--</v>
      </c>
      <c r="T51" s="230">
        <f>ROW()</f>
        <v>51</v>
      </c>
      <c r="U51" s="231" t="str">
        <f>IF(C_1[[#This Row],[OWNER NAME 1]] = "", "",
   IF(_xlfn.XLOOKUP(C_1[[#This Row],[OWNER NAME 1]],OWNER_LIST[Owner Name], OWNER_LIST[Email], "") = "", "",
      _xlfn.XLOOKUP(C_1[[#This Row],[OWNER NAME 1]], OWNER_LIST[Owner Name], OWNER_LIST[Email], "")))</f>
        <v>martina.maffioletti@rpn-sa.ch</v>
      </c>
      <c r="V51" s="231" t="str">
        <f>IF(C_1[[#This Row],[OWNER NAME 2]] = "", "",
   IF(_xlfn.XLOOKUP(C_1[[#This Row],[OWNER NAME 2]],OWNER_LIST[Owner Name], OWNER_LIST[Email], "") = "", "",
      _xlfn.XLOOKUP(C_1[[#This Row],[OWNER NAME 2]], OWNER_LIST[Owner Name], OWNER_LIST[Email], "")))</f>
        <v>amos.anderini@rpn-sa.ch</v>
      </c>
      <c r="W51" s="230" t="str">
        <f>$A$37</f>
        <v>C1</v>
      </c>
      <c r="X51" s="232" t="str">
        <f>IF(
    OR(
        AND(
            NOT(ISBLANK(C_1[[#This Row],[DESCRIPTION -  INFORMATION LOG]])),
            C_1[[#This Row],[DESCRIPTION -  INFORMATION LOG]] &lt;&gt; "DESCRIPTION -  INFORMATION LOG"
        ),
        NOT(ISBLANK(C_1[[#This Row],[ACTION REQUIRED]]))
    ),
    "Y",
    "N"
)</f>
        <v>Y</v>
      </c>
      <c r="Y51" s="208"/>
      <c r="Z51" s="208"/>
    </row>
    <row r="52" spans="1:26" ht="30.75">
      <c r="A52" s="129" t="s">
        <v>79</v>
      </c>
      <c r="B52" s="205" t="s">
        <v>116</v>
      </c>
      <c r="C52" s="129" t="s">
        <v>95</v>
      </c>
      <c r="D52" s="144" t="s">
        <v>82</v>
      </c>
      <c r="E52" s="260" t="s">
        <v>117</v>
      </c>
      <c r="F52" s="129" t="s">
        <v>118</v>
      </c>
      <c r="G52" s="287" t="s">
        <v>85</v>
      </c>
      <c r="H52" s="142">
        <v>46061</v>
      </c>
      <c r="I52" s="132" t="str" cm="1">
        <f t="array" ref="I52">IFERROR(_xlfn.TEXTJOIN(" / ", TRUE, IF(OWNER_LIST[Owner Name]=C_1[[#This Row],[OWNER NAME 1]], OWNER_LIST[Owner ORG], ""), IF(OWNER_LIST[Owner Name]=C_1[[#This Row],[OWNER NAME 2]], OWNER_LIST[Owner ORG], "")), "")</f>
        <v>RPN</v>
      </c>
      <c r="J52" s="143" t="s">
        <v>25</v>
      </c>
      <c r="K52" s="143"/>
      <c r="L52" s="83"/>
      <c r="M52" s="133"/>
      <c r="N52" s="207"/>
      <c r="O52" s="208"/>
      <c r="P52" s="127"/>
      <c r="Q52" s="229"/>
      <c r="R52" s="229" t="str">
        <f xml:space="preserve"> _xlfn.CONCAT(C_1[[#This Row],[ESCALATE]], "-",C_1[[#This Row],[Row_PM]])</f>
        <v>-</v>
      </c>
      <c r="S52" s="229" t="str">
        <f xml:space="preserve"> _xlfn.CONCAT(C_1[[#This Row],[ESCALATE]], "-",C_1[[#This Row],[Notify_PM]])</f>
        <v>--</v>
      </c>
      <c r="T52" s="230">
        <f>ROW()</f>
        <v>52</v>
      </c>
      <c r="U52" s="231" t="str">
        <f>IF(C_1[[#This Row],[OWNER NAME 1]] = "", "",
   IF(_xlfn.XLOOKUP(C_1[[#This Row],[OWNER NAME 1]],OWNER_LIST[Owner Name], OWNER_LIST[Email], "") = "", "",
      _xlfn.XLOOKUP(C_1[[#This Row],[OWNER NAME 1]], OWNER_LIST[Owner Name], OWNER_LIST[Email], "")))</f>
        <v>matteo.naldi@cmbcarpi.it</v>
      </c>
      <c r="V52" s="231" t="str">
        <f>IF(C_1[[#This Row],[OWNER NAME 2]] = "", "",
   IF(_xlfn.XLOOKUP(C_1[[#This Row],[OWNER NAME 2]],OWNER_LIST[Owner Name], OWNER_LIST[Email], "") = "", "",
      _xlfn.XLOOKUP(C_1[[#This Row],[OWNER NAME 2]], OWNER_LIST[Owner Name], OWNER_LIST[Email], "")))</f>
        <v/>
      </c>
      <c r="W52" s="230" t="str">
        <f>$A$37</f>
        <v>C1</v>
      </c>
      <c r="X52" s="232" t="str">
        <f>IF(
    OR(
        AND(
            NOT(ISBLANK(C_1[[#This Row],[DESCRIPTION -  INFORMATION LOG]])),
            C_1[[#This Row],[DESCRIPTION -  INFORMATION LOG]] &lt;&gt; "DESCRIPTION -  INFORMATION LOG"
        ),
        NOT(ISBLANK(C_1[[#This Row],[ACTION REQUIRED]]))
    ),
    "Y",
    "N"
)</f>
        <v>Y</v>
      </c>
      <c r="Y52" s="208"/>
      <c r="Z52" s="208"/>
    </row>
    <row r="53" spans="1:26" ht="121.5">
      <c r="A53" s="129" t="s">
        <v>79</v>
      </c>
      <c r="B53" s="205" t="s">
        <v>119</v>
      </c>
      <c r="C53" s="129" t="s">
        <v>81</v>
      </c>
      <c r="D53" s="144" t="s">
        <v>82</v>
      </c>
      <c r="E53" s="260" t="s">
        <v>120</v>
      </c>
      <c r="F53" s="296" t="s">
        <v>121</v>
      </c>
      <c r="G53" s="288" t="s">
        <v>77</v>
      </c>
      <c r="H53" s="155">
        <v>46086</v>
      </c>
      <c r="I53" s="132" t="str" cm="1">
        <f t="array" ref="I53">IFERROR(_xlfn.TEXTJOIN(" / ", TRUE, IF(OWNER_LIST[Owner Name]=C_1[[#This Row],[OWNER NAME 1]], OWNER_LIST[Owner ORG], ""), IF(OWNER_LIST[Owner Name]=C_1[[#This Row],[OWNER NAME 2]], OWNER_LIST[Owner ORG], "")), "")</f>
        <v>RPN / RPN</v>
      </c>
      <c r="J53" s="83" t="s">
        <v>25</v>
      </c>
      <c r="K53" s="83" t="s">
        <v>24</v>
      </c>
      <c r="L53" s="83"/>
      <c r="M53" s="133"/>
      <c r="N53" s="207"/>
      <c r="O53" s="208"/>
      <c r="P53" s="127"/>
      <c r="Q53" s="229"/>
      <c r="R53" s="229" t="str">
        <f xml:space="preserve"> _xlfn.CONCAT(C_1[[#This Row],[ESCALATE]], "-",C_1[[#This Row],[Row_PM]])</f>
        <v>-</v>
      </c>
      <c r="S53" s="229" t="str">
        <f xml:space="preserve"> _xlfn.CONCAT(C_1[[#This Row],[ESCALATE]], "-",C_1[[#This Row],[Notify_PM]])</f>
        <v>--</v>
      </c>
      <c r="T53" s="230">
        <f>ROW()</f>
        <v>53</v>
      </c>
      <c r="U53" s="231" t="str">
        <f>IF(C_1[[#This Row],[OWNER NAME 1]] = "", "",
   IF(_xlfn.XLOOKUP(C_1[[#This Row],[OWNER NAME 1]],OWNER_LIST[Owner Name], OWNER_LIST[Email], "") = "", "",
      _xlfn.XLOOKUP(C_1[[#This Row],[OWNER NAME 1]], OWNER_LIST[Owner Name], OWNER_LIST[Email], "")))</f>
        <v>matteo.naldi@cmbcarpi.it</v>
      </c>
      <c r="V53" s="231" t="str">
        <f>IF(C_1[[#This Row],[OWNER NAME 2]] = "", "",
   IF(_xlfn.XLOOKUP(C_1[[#This Row],[OWNER NAME 2]],OWNER_LIST[Owner Name], OWNER_LIST[Email], "") = "", "",
      _xlfn.XLOOKUP(C_1[[#This Row],[OWNER NAME 2]], OWNER_LIST[Owner Name], OWNER_LIST[Email], "")))</f>
        <v>lorenzo.barnini@cmbcarpi.it</v>
      </c>
      <c r="W53" s="230" t="str">
        <f>$A$37</f>
        <v>C1</v>
      </c>
      <c r="X53" s="232" t="str">
        <f>IF(
    OR(
        AND(
            NOT(ISBLANK(C_1[[#This Row],[DESCRIPTION -  INFORMATION LOG]])),
            C_1[[#This Row],[DESCRIPTION -  INFORMATION LOG]] &lt;&gt; "DESCRIPTION -  INFORMATION LOG"
        ),
        NOT(ISBLANK(C_1[[#This Row],[ACTION REQUIRED]]))
    ),
    "Y",
    "N"
)</f>
        <v>Y</v>
      </c>
      <c r="Y53" s="208"/>
      <c r="Z53" s="208"/>
    </row>
    <row r="54" spans="1:26" ht="76.5">
      <c r="A54" s="129" t="s">
        <v>79</v>
      </c>
      <c r="B54" s="205" t="s">
        <v>122</v>
      </c>
      <c r="C54" s="129" t="s">
        <v>95</v>
      </c>
      <c r="D54" s="144" t="s">
        <v>82</v>
      </c>
      <c r="E54" s="129" t="s">
        <v>123</v>
      </c>
      <c r="F54" s="129" t="s">
        <v>124</v>
      </c>
      <c r="G54" s="297" t="s">
        <v>85</v>
      </c>
      <c r="H54" s="142">
        <v>45932</v>
      </c>
      <c r="I54" s="132" t="str" cm="1">
        <f t="array" ref="I54">IFERROR(_xlfn.TEXTJOIN(" / ", TRUE, IF(OWNER_LIST[Owner Name]=C_1[[#This Row],[OWNER NAME 1]], OWNER_LIST[Owner ORG], ""), IF(OWNER_LIST[Owner Name]=C_1[[#This Row],[OWNER NAME 2]], OWNER_LIST[Owner ORG], "")), "")</f>
        <v>RPN</v>
      </c>
      <c r="J54" s="83" t="s">
        <v>125</v>
      </c>
      <c r="K54" s="83"/>
      <c r="L54" s="83"/>
      <c r="M54" s="133"/>
      <c r="N54" s="207"/>
      <c r="O54" s="208"/>
      <c r="P54" s="127"/>
      <c r="Q54" s="229"/>
      <c r="R54" s="229" t="str">
        <f xml:space="preserve"> _xlfn.CONCAT(C_1[[#This Row],[ESCALATE]], "-",C_1[[#This Row],[Row_PM]])</f>
        <v>-</v>
      </c>
      <c r="S54" s="229" t="str">
        <f xml:space="preserve"> _xlfn.CONCAT(C_1[[#This Row],[ESCALATE]], "-",C_1[[#This Row],[Notify_PM]])</f>
        <v>--</v>
      </c>
      <c r="T54" s="230">
        <f>ROW()</f>
        <v>54</v>
      </c>
      <c r="U54" s="231" t="str">
        <f>IF(C_1[[#This Row],[OWNER NAME 1]] = "", "",
   IF(_xlfn.XLOOKUP(C_1[[#This Row],[OWNER NAME 1]],OWNER_LIST[Owner Name], OWNER_LIST[Email], "") = "", "",
      _xlfn.XLOOKUP(C_1[[#This Row],[OWNER NAME 1]], OWNER_LIST[Owner Name], OWNER_LIST[Email], "")))</f>
        <v>gianluca.crippa@rpn-sa.ch</v>
      </c>
      <c r="V54" s="231" t="str">
        <f>IF(C_1[[#This Row],[OWNER NAME 2]] = "", "",
   IF(_xlfn.XLOOKUP(C_1[[#This Row],[OWNER NAME 2]],OWNER_LIST[Owner Name], OWNER_LIST[Email], "") = "", "",
      _xlfn.XLOOKUP(C_1[[#This Row],[OWNER NAME 2]], OWNER_LIST[Owner Name], OWNER_LIST[Email], "")))</f>
        <v/>
      </c>
      <c r="W54" s="230" t="str">
        <f>$A$37</f>
        <v>C1</v>
      </c>
      <c r="X54" s="232" t="str">
        <f>IF(
    OR(
        AND(
            NOT(ISBLANK(C_1[[#This Row],[DESCRIPTION -  INFORMATION LOG]])),
            C_1[[#This Row],[DESCRIPTION -  INFORMATION LOG]] &lt;&gt; "DESCRIPTION -  INFORMATION LOG"
        ),
        NOT(ISBLANK(C_1[[#This Row],[ACTION REQUIRED]]))
    ),
    "Y",
    "N"
)</f>
        <v>Y</v>
      </c>
      <c r="Y54" s="208"/>
      <c r="Z54" s="208"/>
    </row>
    <row r="55" spans="1:26" s="166" customFormat="1" ht="45.75">
      <c r="A55" s="129" t="s">
        <v>126</v>
      </c>
      <c r="B55" s="210" t="s">
        <v>127</v>
      </c>
      <c r="C55" s="129" t="s">
        <v>95</v>
      </c>
      <c r="D55" s="144" t="s">
        <v>82</v>
      </c>
      <c r="E55" s="260" t="s">
        <v>128</v>
      </c>
      <c r="F55" s="259" t="s">
        <v>129</v>
      </c>
      <c r="G55" s="197" t="s">
        <v>77</v>
      </c>
      <c r="H55" s="142">
        <v>46071</v>
      </c>
      <c r="I55" s="132" t="str" cm="1">
        <f t="array" ref="I55">IFERROR(_xlfn.TEXTJOIN(" / ", TRUE, IF(OWNER_LIST[Owner Name]=C_1[[#This Row],[OWNER NAME 1]], OWNER_LIST[Owner ORG], ""), IF(OWNER_LIST[Owner Name]=C_1[[#This Row],[OWNER NAME 2]], OWNER_LIST[Owner ORG], "")), "")</f>
        <v>RPN</v>
      </c>
      <c r="J55" s="83" t="s">
        <v>25</v>
      </c>
      <c r="K55" s="83"/>
      <c r="L55" s="83"/>
      <c r="M55" s="133"/>
      <c r="N55" s="207"/>
      <c r="O55" s="208"/>
      <c r="P55" s="208"/>
      <c r="Q55" s="229"/>
      <c r="R55" s="229" t="str">
        <f xml:space="preserve"> _xlfn.CONCAT(C_1[[#This Row],[ESCALATE]], "-",C_1[[#This Row],[Row_PM]])</f>
        <v>-</v>
      </c>
      <c r="S55" s="229" t="str">
        <f xml:space="preserve"> _xlfn.CONCAT(C_1[[#This Row],[ESCALATE]], "-",C_1[[#This Row],[Notify_PM]])</f>
        <v>--</v>
      </c>
      <c r="T55" s="229">
        <f>ROW()</f>
        <v>55</v>
      </c>
      <c r="U55" s="229" t="str">
        <f>IF(C_1[[#This Row],[OWNER NAME 1]] = "", "",
   IF(_xlfn.XLOOKUP(C_1[[#This Row],[OWNER NAME 1]],OWNER_LIST[Owner Name], OWNER_LIST[Email], "") = "", "",
      _xlfn.XLOOKUP(C_1[[#This Row],[OWNER NAME 1]], OWNER_LIST[Owner Name], OWNER_LIST[Email], "")))</f>
        <v>matteo.naldi@cmbcarpi.it</v>
      </c>
      <c r="V55" s="229" t="str">
        <f>IF(C_1[[#This Row],[OWNER NAME 2]] = "", "",
   IF(_xlfn.XLOOKUP(C_1[[#This Row],[OWNER NAME 2]],OWNER_LIST[Owner Name], OWNER_LIST[Email], "") = "", "",
      _xlfn.XLOOKUP(C_1[[#This Row],[OWNER NAME 2]], OWNER_LIST[Owner Name], OWNER_LIST[Email], "")))</f>
        <v/>
      </c>
      <c r="W55" s="229" t="str">
        <f t="shared" ref="W55" si="1">$A$37</f>
        <v>C1</v>
      </c>
      <c r="X55" s="229" t="str">
        <f>IF(
    OR(
        AND(
            NOT(ISBLANK(C_1[[#This Row],[DESCRIPTION -  INFORMATION LOG]])),
            C_1[[#This Row],[DESCRIPTION -  INFORMATION LOG]] &lt;&gt; "DESCRIPTION -  INFORMATION LOG"
        ),
        NOT(ISBLANK(C_1[[#This Row],[ACTION REQUIRED]]))
    ),
    "Y",
    "N"
)</f>
        <v>Y</v>
      </c>
      <c r="Y55" s="208"/>
      <c r="Z55" s="208"/>
    </row>
    <row r="56" spans="1:26" ht="91.5">
      <c r="A56" s="129" t="s">
        <v>130</v>
      </c>
      <c r="B56" s="211" t="s">
        <v>131</v>
      </c>
      <c r="C56" s="129" t="s">
        <v>95</v>
      </c>
      <c r="D56" s="144" t="s">
        <v>82</v>
      </c>
      <c r="E56" s="260" t="s">
        <v>132</v>
      </c>
      <c r="F56" s="259" t="s">
        <v>133</v>
      </c>
      <c r="G56" s="288" t="s">
        <v>77</v>
      </c>
      <c r="H56" s="142">
        <v>46064</v>
      </c>
      <c r="I56" s="132" t="str" cm="1">
        <f t="array" ref="I56">IFERROR(_xlfn.TEXTJOIN(" / ", TRUE, IF(OWNER_LIST[Owner Name]=C_1[[#This Row],[OWNER NAME 1]], OWNER_LIST[Owner ORG], ""), IF(OWNER_LIST[Owner Name]=C_1[[#This Row],[OWNER NAME 2]], OWNER_LIST[Owner ORG], "")), "")</f>
        <v>G&amp;T</v>
      </c>
      <c r="J56" s="83" t="s">
        <v>134</v>
      </c>
      <c r="K56" s="83"/>
      <c r="L56" s="83"/>
      <c r="M56" s="133"/>
      <c r="N56" s="207"/>
      <c r="O56" s="208"/>
      <c r="P56" s="208"/>
      <c r="Q56" s="229"/>
      <c r="R56" s="229" t="str">
        <f xml:space="preserve"> _xlfn.CONCAT(C_1[[#This Row],[ESCALATE]], "-",C_1[[#This Row],[Row_PM]])</f>
        <v>-</v>
      </c>
      <c r="S56" s="229" t="str">
        <f xml:space="preserve"> _xlfn.CONCAT(C_1[[#This Row],[ESCALATE]], "-",C_1[[#This Row],[Notify_PM]])</f>
        <v>--</v>
      </c>
      <c r="T56" s="229">
        <f>ROW()</f>
        <v>56</v>
      </c>
      <c r="U56" s="229" t="str">
        <f>IF(C_1[[#This Row],[OWNER NAME 1]] = "", "",
   IF(_xlfn.XLOOKUP(C_1[[#This Row],[OWNER NAME 1]],OWNER_LIST[Owner Name], OWNER_LIST[Email], "") = "", "",
      _xlfn.XLOOKUP(C_1[[#This Row],[OWNER NAME 1]], OWNER_LIST[Owner Name], OWNER_LIST[Email], "")))</f>
        <v>c.omalley@gardiner.com</v>
      </c>
      <c r="V56" s="229" t="str">
        <f>IF(C_1[[#This Row],[OWNER NAME 2]] = "", "",
   IF(_xlfn.XLOOKUP(C_1[[#This Row],[OWNER NAME 2]],OWNER_LIST[Owner Name], OWNER_LIST[Email], "") = "", "",
      _xlfn.XLOOKUP(C_1[[#This Row],[OWNER NAME 2]], OWNER_LIST[Owner Name], OWNER_LIST[Email], "")))</f>
        <v/>
      </c>
      <c r="W56" s="229" t="str">
        <f t="shared" ref="W56:W148" si="2">$A$37</f>
        <v>C1</v>
      </c>
      <c r="X56" s="229" t="str">
        <f>IF(
    OR(
        AND(
            NOT(ISBLANK(C_1[[#This Row],[DESCRIPTION -  INFORMATION LOG]])),
            C_1[[#This Row],[DESCRIPTION -  INFORMATION LOG]] &lt;&gt; "DESCRIPTION -  INFORMATION LOG"
        ),
        NOT(ISBLANK(C_1[[#This Row],[ACTION REQUIRED]]))
    ),
    "Y",
    "N"
)</f>
        <v>Y</v>
      </c>
      <c r="Y56" s="208"/>
      <c r="Z56" s="208"/>
    </row>
    <row r="57" spans="1:26" s="166" customFormat="1" ht="106.5">
      <c r="A57" s="129" t="s">
        <v>135</v>
      </c>
      <c r="B57" s="211" t="s">
        <v>136</v>
      </c>
      <c r="C57" s="129" t="s">
        <v>95</v>
      </c>
      <c r="D57" s="144" t="s">
        <v>82</v>
      </c>
      <c r="E57" s="260" t="s">
        <v>137</v>
      </c>
      <c r="F57" s="129" t="s">
        <v>138</v>
      </c>
      <c r="G57" s="288" t="s">
        <v>85</v>
      </c>
      <c r="H57" s="142">
        <v>46050</v>
      </c>
      <c r="I57" s="132" t="str" cm="1">
        <f t="array" ref="I57">IFERROR(_xlfn.TEXTJOIN(" / ", TRUE, IF(OWNER_LIST[Owner Name]=C_1[[#This Row],[OWNER NAME 1]], OWNER_LIST[Owner ORG], ""), IF(OWNER_LIST[Owner Name]=C_1[[#This Row],[OWNER NAME 2]], OWNER_LIST[Owner ORG], "")), "")</f>
        <v>RPN / RPN</v>
      </c>
      <c r="J57" s="83" t="s">
        <v>25</v>
      </c>
      <c r="K57" s="83" t="s">
        <v>30</v>
      </c>
      <c r="L57" s="83"/>
      <c r="M57" s="133"/>
      <c r="N57" s="207"/>
      <c r="O57" s="208"/>
      <c r="P57" s="208"/>
      <c r="Q57" s="229"/>
      <c r="R57" s="229" t="str">
        <f xml:space="preserve"> _xlfn.CONCAT(C_1[[#This Row],[ESCALATE]], "-",C_1[[#This Row],[Row_PM]])</f>
        <v>-</v>
      </c>
      <c r="S57" s="229" t="str">
        <f xml:space="preserve"> _xlfn.CONCAT(C_1[[#This Row],[ESCALATE]], "-",C_1[[#This Row],[Notify_PM]])</f>
        <v>--</v>
      </c>
      <c r="T57" s="229">
        <f>ROW()</f>
        <v>57</v>
      </c>
      <c r="U57" s="229" t="str">
        <f>IF(C_1[[#This Row],[OWNER NAME 1]] = "", "",
   IF(_xlfn.XLOOKUP(C_1[[#This Row],[OWNER NAME 1]],OWNER_LIST[Owner Name], OWNER_LIST[Email], "") = "", "",
      _xlfn.XLOOKUP(C_1[[#This Row],[OWNER NAME 1]], OWNER_LIST[Owner Name], OWNER_LIST[Email], "")))</f>
        <v>matteo.naldi@cmbcarpi.it</v>
      </c>
      <c r="V57" s="229" t="str">
        <f>IF(C_1[[#This Row],[OWNER NAME 2]] = "", "",
   IF(_xlfn.XLOOKUP(C_1[[#This Row],[OWNER NAME 2]],OWNER_LIST[Owner Name], OWNER_LIST[Email], "") = "", "",
      _xlfn.XLOOKUP(C_1[[#This Row],[OWNER NAME 2]], OWNER_LIST[Owner Name], OWNER_LIST[Email], "")))</f>
        <v>simone.conti@cmbcarpi.it</v>
      </c>
      <c r="W57" s="229" t="str">
        <f t="shared" si="2"/>
        <v>C1</v>
      </c>
      <c r="X57" s="229" t="str">
        <f>IF(
    OR(
        AND(
            NOT(ISBLANK(C_1[[#This Row],[DESCRIPTION -  INFORMATION LOG]])),
            C_1[[#This Row],[DESCRIPTION -  INFORMATION LOG]] &lt;&gt; "DESCRIPTION -  INFORMATION LOG"
        ),
        NOT(ISBLANK(C_1[[#This Row],[ACTION REQUIRED]]))
    ),
    "Y",
    "N"
)</f>
        <v>Y</v>
      </c>
      <c r="Y57" s="208"/>
      <c r="Z57" s="208"/>
    </row>
    <row r="58" spans="1:26" ht="45.75">
      <c r="A58" s="129" t="s">
        <v>139</v>
      </c>
      <c r="B58" s="211" t="s">
        <v>140</v>
      </c>
      <c r="C58" s="129" t="s">
        <v>95</v>
      </c>
      <c r="D58" s="144" t="s">
        <v>82</v>
      </c>
      <c r="E58" s="290" t="s">
        <v>141</v>
      </c>
      <c r="F58" s="129" t="s">
        <v>142</v>
      </c>
      <c r="G58" s="284" t="s">
        <v>85</v>
      </c>
      <c r="H58" s="142">
        <v>46087</v>
      </c>
      <c r="I58" s="132" t="str" cm="1">
        <f t="array" ref="I58">IFERROR(_xlfn.TEXTJOIN(" / ", TRUE, IF(OWNER_LIST[Owner Name]=C_1[[#This Row],[OWNER NAME 1]], OWNER_LIST[Owner ORG], ""), IF(OWNER_LIST[Owner Name]=C_1[[#This Row],[OWNER NAME 2]], OWNER_LIST[Owner ORG], "")), "")</f>
        <v>G&amp;T</v>
      </c>
      <c r="J58" s="83" t="s">
        <v>134</v>
      </c>
      <c r="K58" s="83"/>
      <c r="L58" s="83"/>
      <c r="M58" s="133"/>
      <c r="N58" s="207"/>
      <c r="O58" s="208"/>
      <c r="P58" s="208"/>
      <c r="Q58" s="229"/>
      <c r="R58" s="229" t="str">
        <f xml:space="preserve"> _xlfn.CONCAT(C_1[[#This Row],[ESCALATE]], "-",C_1[[#This Row],[Row_PM]])</f>
        <v>-</v>
      </c>
      <c r="S58" s="229" t="str">
        <f xml:space="preserve"> _xlfn.CONCAT(C_1[[#This Row],[ESCALATE]], "-",C_1[[#This Row],[Notify_PM]])</f>
        <v>--</v>
      </c>
      <c r="T58" s="230">
        <f>ROW()</f>
        <v>58</v>
      </c>
      <c r="U58" s="231" t="str">
        <f>IF(C_1[[#This Row],[OWNER NAME 1]] = "", "",
   IF(_xlfn.XLOOKUP(C_1[[#This Row],[OWNER NAME 1]],OWNER_LIST[Owner Name], OWNER_LIST[Email], "") = "", "",
      _xlfn.XLOOKUP(C_1[[#This Row],[OWNER NAME 1]], OWNER_LIST[Owner Name], OWNER_LIST[Email], "")))</f>
        <v>c.omalley@gardiner.com</v>
      </c>
      <c r="V58" s="231" t="str">
        <f>IF(C_1[[#This Row],[OWNER NAME 2]] = "", "",
   IF(_xlfn.XLOOKUP(C_1[[#This Row],[OWNER NAME 2]],OWNER_LIST[Owner Name], OWNER_LIST[Email], "") = "", "",
      _xlfn.XLOOKUP(C_1[[#This Row],[OWNER NAME 2]], OWNER_LIST[Owner Name], OWNER_LIST[Email], "")))</f>
        <v/>
      </c>
      <c r="W58" s="230" t="str">
        <f t="shared" si="2"/>
        <v>C1</v>
      </c>
      <c r="X58" s="232" t="str">
        <f>IF(
    OR(
        AND(
            NOT(ISBLANK(C_1[[#This Row],[DESCRIPTION -  INFORMATION LOG]])),
            C_1[[#This Row],[DESCRIPTION -  INFORMATION LOG]] &lt;&gt; "DESCRIPTION -  INFORMATION LOG"
        ),
        NOT(ISBLANK(C_1[[#This Row],[ACTION REQUIRED]]))
    ),
    "Y",
    "N"
)</f>
        <v>Y</v>
      </c>
      <c r="Y58" s="208"/>
      <c r="Z58" s="208"/>
    </row>
    <row r="59" spans="1:26" ht="76.5">
      <c r="A59" s="129" t="s">
        <v>143</v>
      </c>
      <c r="B59" s="211" t="s">
        <v>144</v>
      </c>
      <c r="C59" s="129" t="s">
        <v>95</v>
      </c>
      <c r="D59" s="144" t="s">
        <v>82</v>
      </c>
      <c r="E59" s="129" t="s">
        <v>145</v>
      </c>
      <c r="F59" s="212" t="s">
        <v>146</v>
      </c>
      <c r="G59" s="284" t="s">
        <v>85</v>
      </c>
      <c r="H59" s="93">
        <v>45940</v>
      </c>
      <c r="I59" s="132" t="str" cm="1">
        <f t="array" ref="I59">IFERROR(_xlfn.TEXTJOIN(" / ", TRUE, IF(OWNER_LIST[Owner Name]=C_1[[#This Row],[OWNER NAME 1]], OWNER_LIST[Owner ORG], ""), IF(OWNER_LIST[Owner Name]=C_1[[#This Row],[OWNER NAME 2]], OWNER_LIST[Owner ORG], "")), "")</f>
        <v>SHP / SHP</v>
      </c>
      <c r="J59" s="83" t="s">
        <v>147</v>
      </c>
      <c r="K59" s="83" t="s">
        <v>40</v>
      </c>
      <c r="L59" s="83"/>
      <c r="M59" s="133"/>
      <c r="N59" s="207"/>
      <c r="O59" s="208"/>
      <c r="P59" s="208"/>
      <c r="Q59" s="229"/>
      <c r="R59" s="229" t="str">
        <f xml:space="preserve"> _xlfn.CONCAT(C_1[[#This Row],[ESCALATE]], "-",C_1[[#This Row],[Row_PM]])</f>
        <v>-</v>
      </c>
      <c r="S59" s="229" t="str">
        <f xml:space="preserve"> _xlfn.CONCAT(C_1[[#This Row],[ESCALATE]], "-",C_1[[#This Row],[Notify_PM]])</f>
        <v>--</v>
      </c>
      <c r="T59" s="229">
        <f>ROW()</f>
        <v>59</v>
      </c>
      <c r="U59" s="229" t="str">
        <f>IF(C_1[[#This Row],[OWNER NAME 1]] = "", "",
   IF(_xlfn.XLOOKUP(C_1[[#This Row],[OWNER NAME 1]],OWNER_LIST[Owner Name], OWNER_LIST[Email], "") = "", "",
      _xlfn.XLOOKUP(C_1[[#This Row],[OWNER NAME 1]], OWNER_LIST[Owner Name], OWNER_LIST[Email], "")))</f>
        <v>ionescud@un.org</v>
      </c>
      <c r="V59" s="229" t="str">
        <f>IF(C_1[[#This Row],[OWNER NAME 2]] = "", "",
   IF(_xlfn.XLOOKUP(C_1[[#This Row],[OWNER NAME 2]],OWNER_LIST[Owner Name], OWNER_LIST[Email], "") = "", "",
      _xlfn.XLOOKUP(C_1[[#This Row],[OWNER NAME 2]], OWNER_LIST[Owner Name], OWNER_LIST[Email], "")))</f>
        <v>jean.ferre@un.org</v>
      </c>
      <c r="W59" s="229" t="str">
        <f t="shared" si="2"/>
        <v>C1</v>
      </c>
      <c r="X59" s="229" t="str">
        <f>IF(
    OR(
        AND(
            NOT(ISBLANK(C_1[[#This Row],[DESCRIPTION -  INFORMATION LOG]])),
            C_1[[#This Row],[DESCRIPTION -  INFORMATION LOG]] &lt;&gt; "DESCRIPTION -  INFORMATION LOG"
        ),
        NOT(ISBLANK(C_1[[#This Row],[ACTION REQUIRED]]))
    ),
    "Y",
    "N"
)</f>
        <v>Y</v>
      </c>
      <c r="Y59" s="208"/>
      <c r="Z59" s="208"/>
    </row>
    <row r="60" spans="1:26" ht="30.75">
      <c r="A60" s="260" t="s">
        <v>148</v>
      </c>
      <c r="B60" s="314" t="s">
        <v>149</v>
      </c>
      <c r="C60" s="129" t="s">
        <v>95</v>
      </c>
      <c r="D60" s="144" t="s">
        <v>82</v>
      </c>
      <c r="E60" s="259" t="s">
        <v>150</v>
      </c>
      <c r="F60" s="259" t="s">
        <v>151</v>
      </c>
      <c r="G60" s="284" t="s">
        <v>85</v>
      </c>
      <c r="H60" s="270">
        <v>46079</v>
      </c>
      <c r="I60" s="132" t="str" cm="1">
        <f t="array" ref="I60">IFERROR(_xlfn.TEXTJOIN(" / ", TRUE, IF(OWNER_LIST[Owner Name]=C_1[[#This Row],[OWNER NAME 1]], OWNER_LIST[Owner ORG], ""), IF(OWNER_LIST[Owner Name]=C_1[[#This Row],[OWNER NAME 2]], OWNER_LIST[Owner ORG], "")), "")</f>
        <v>SOMBP</v>
      </c>
      <c r="J60" s="262" t="s">
        <v>43</v>
      </c>
      <c r="K60" s="262"/>
      <c r="L60" s="262"/>
      <c r="M60" s="263"/>
      <c r="N60" s="312"/>
      <c r="O60" s="313"/>
      <c r="P60" s="313"/>
      <c r="Q60" s="229"/>
      <c r="R60" s="229" t="str">
        <f xml:space="preserve"> _xlfn.CONCAT(C_1[[#This Row],[ESCALATE]], "-",C_1[[#This Row],[Row_PM]])</f>
        <v>-</v>
      </c>
      <c r="S60" s="229" t="str">
        <f xml:space="preserve"> _xlfn.CONCAT(C_1[[#This Row],[ESCALATE]], "-",C_1[[#This Row],[Notify_PM]])</f>
        <v>--</v>
      </c>
      <c r="T60" s="229">
        <f>ROW()</f>
        <v>60</v>
      </c>
      <c r="U60" s="229" t="str">
        <f>IF(C_1[[#This Row],[OWNER NAME 1]] = "", "",
   IF(_xlfn.XLOOKUP(C_1[[#This Row],[OWNER NAME 1]],OWNER_LIST[Owner Name], OWNER_LIST[Email], "") = "", "",
      _xlfn.XLOOKUP(C_1[[#This Row],[OWNER NAME 1]], OWNER_LIST[Owner Name], OWNER_LIST[Email], "")))</f>
        <v>ce@erard.biz</v>
      </c>
      <c r="V60" s="229" t="str">
        <f>IF(C_1[[#This Row],[OWNER NAME 2]] = "", "",
   IF(_xlfn.XLOOKUP(C_1[[#This Row],[OWNER NAME 2]],OWNER_LIST[Owner Name], OWNER_LIST[Email], "") = "", "",
      _xlfn.XLOOKUP(C_1[[#This Row],[OWNER NAME 2]], OWNER_LIST[Owner Name], OWNER_LIST[Email], "")))</f>
        <v/>
      </c>
      <c r="W60" s="229" t="str">
        <f>$A$37</f>
        <v>C1</v>
      </c>
      <c r="X60" s="229" t="str">
        <f>IF(
    OR(
        AND(
            NOT(ISBLANK(C_1[[#This Row],[DESCRIPTION -  INFORMATION LOG]])),
            C_1[[#This Row],[DESCRIPTION -  INFORMATION LOG]] &lt;&gt; "DESCRIPTION -  INFORMATION LOG"
        ),
        NOT(ISBLANK(C_1[[#This Row],[ACTION REQUIRED]]))
    ),
    "Y",
    "N"
)</f>
        <v>Y</v>
      </c>
      <c r="Y60" s="208"/>
      <c r="Z60" s="208"/>
    </row>
    <row r="61" spans="1:26" ht="76.5">
      <c r="A61" s="129" t="s">
        <v>152</v>
      </c>
      <c r="B61" s="211" t="s">
        <v>153</v>
      </c>
      <c r="C61" s="152" t="s">
        <v>81</v>
      </c>
      <c r="D61" s="144" t="s">
        <v>82</v>
      </c>
      <c r="E61" s="129" t="s">
        <v>154</v>
      </c>
      <c r="F61" s="260"/>
      <c r="G61" s="288" t="s">
        <v>77</v>
      </c>
      <c r="H61" s="93">
        <v>46063</v>
      </c>
      <c r="I61" s="132" t="str" cm="1">
        <f t="array" ref="I61">IFERROR(_xlfn.TEXTJOIN(" / ", TRUE, IF(OWNER_LIST[Owner Name]=C_1[[#This Row],[OWNER NAME 1]], OWNER_LIST[Owner ORG], ""), IF(OWNER_LIST[Owner Name]=C_1[[#This Row],[OWNER NAME 2]], OWNER_LIST[Owner ORG], "")), "")</f>
        <v>RPN</v>
      </c>
      <c r="J61" s="83" t="s">
        <v>25</v>
      </c>
      <c r="K61" s="83"/>
      <c r="L61" s="83"/>
      <c r="M61" s="133"/>
      <c r="N61" s="207"/>
      <c r="O61" s="208"/>
      <c r="P61" s="208"/>
      <c r="Q61" s="229"/>
      <c r="R61" s="229" t="str">
        <f xml:space="preserve"> _xlfn.CONCAT(C_1[[#This Row],[ESCALATE]], "-",C_1[[#This Row],[Row_PM]])</f>
        <v>-</v>
      </c>
      <c r="S61" s="229" t="str">
        <f xml:space="preserve"> _xlfn.CONCAT(C_1[[#This Row],[ESCALATE]], "-",C_1[[#This Row],[Notify_PM]])</f>
        <v>--</v>
      </c>
      <c r="T61" s="229">
        <f>ROW()</f>
        <v>61</v>
      </c>
      <c r="U61" s="229" t="str">
        <f>IF(C_1[[#This Row],[OWNER NAME 1]] = "", "",
   IF(_xlfn.XLOOKUP(C_1[[#This Row],[OWNER NAME 1]],OWNER_LIST[Owner Name], OWNER_LIST[Email], "") = "", "",
      _xlfn.XLOOKUP(C_1[[#This Row],[OWNER NAME 1]], OWNER_LIST[Owner Name], OWNER_LIST[Email], "")))</f>
        <v>matteo.naldi@cmbcarpi.it</v>
      </c>
      <c r="V61" s="229" t="str">
        <f>IF(C_1[[#This Row],[OWNER NAME 2]] = "", "",
   IF(_xlfn.XLOOKUP(C_1[[#This Row],[OWNER NAME 2]],OWNER_LIST[Owner Name], OWNER_LIST[Email], "") = "", "",
      _xlfn.XLOOKUP(C_1[[#This Row],[OWNER NAME 2]], OWNER_LIST[Owner Name], OWNER_LIST[Email], "")))</f>
        <v/>
      </c>
      <c r="W61" s="229" t="str">
        <f t="shared" si="2"/>
        <v>C1</v>
      </c>
      <c r="X61" s="229" t="str">
        <f>IF(
    OR(
        AND(
            NOT(ISBLANK(C_1[[#This Row],[DESCRIPTION -  INFORMATION LOG]])),
            C_1[[#This Row],[DESCRIPTION -  INFORMATION LOG]] &lt;&gt; "DESCRIPTION -  INFORMATION LOG"
        ),
        NOT(ISBLANK(C_1[[#This Row],[ACTION REQUIRED]]))
    ),
    "Y",
    "N"
)</f>
        <v>Y</v>
      </c>
      <c r="Y61" s="208"/>
      <c r="Z61" s="208"/>
    </row>
    <row r="62" spans="1:26" ht="30.75">
      <c r="A62" s="129" t="s">
        <v>152</v>
      </c>
      <c r="B62" s="314" t="s">
        <v>155</v>
      </c>
      <c r="C62" s="276" t="s">
        <v>95</v>
      </c>
      <c r="D62" s="269" t="s">
        <v>82</v>
      </c>
      <c r="E62" s="260" t="s">
        <v>156</v>
      </c>
      <c r="F62" s="260"/>
      <c r="G62" s="287" t="s">
        <v>85</v>
      </c>
      <c r="H62" s="270">
        <v>46101</v>
      </c>
      <c r="I62" s="132" t="str" cm="1">
        <f t="array" ref="I62">IFERROR(_xlfn.TEXTJOIN(" / ", TRUE, IF(OWNER_LIST[Owner Name]=C_1[[#This Row],[OWNER NAME 1]], OWNER_LIST[Owner ORG], ""), IF(OWNER_LIST[Owner Name]=C_1[[#This Row],[OWNER NAME 2]], OWNER_LIST[Owner ORG], "")), "")</f>
        <v>RPN</v>
      </c>
      <c r="J62" s="83" t="s">
        <v>25</v>
      </c>
      <c r="K62" s="262"/>
      <c r="L62" s="262"/>
      <c r="M62" s="263"/>
      <c r="N62" s="312"/>
      <c r="O62" s="313"/>
      <c r="P62" s="313"/>
      <c r="Q62" s="229"/>
      <c r="R62" s="229" t="str">
        <f xml:space="preserve"> _xlfn.CONCAT(C_1[[#This Row],[ESCALATE]], "-",C_1[[#This Row],[Row_PM]])</f>
        <v>-</v>
      </c>
      <c r="S62" s="229" t="str">
        <f xml:space="preserve"> _xlfn.CONCAT(C_1[[#This Row],[ESCALATE]], "-",C_1[[#This Row],[Notify_PM]])</f>
        <v>--</v>
      </c>
      <c r="T62" s="229">
        <f>ROW()</f>
        <v>62</v>
      </c>
      <c r="U62" s="229" t="str">
        <f>IF(C_1[[#This Row],[OWNER NAME 1]] = "", "",
   IF(_xlfn.XLOOKUP(C_1[[#This Row],[OWNER NAME 1]],OWNER_LIST[Owner Name], OWNER_LIST[Email], "") = "", "",
      _xlfn.XLOOKUP(C_1[[#This Row],[OWNER NAME 1]], OWNER_LIST[Owner Name], OWNER_LIST[Email], "")))</f>
        <v>matteo.naldi@cmbcarpi.it</v>
      </c>
      <c r="V62" s="229" t="str">
        <f>IF(C_1[[#This Row],[OWNER NAME 2]] = "", "",
   IF(_xlfn.XLOOKUP(C_1[[#This Row],[OWNER NAME 2]],OWNER_LIST[Owner Name], OWNER_LIST[Email], "") = "", "",
      _xlfn.XLOOKUP(C_1[[#This Row],[OWNER NAME 2]], OWNER_LIST[Owner Name], OWNER_LIST[Email], "")))</f>
        <v/>
      </c>
      <c r="W62" s="229" t="str">
        <f>$A$37</f>
        <v>C1</v>
      </c>
      <c r="X62" s="229" t="str">
        <f>IF(
    OR(
        AND(
            NOT(ISBLANK(C_1[[#This Row],[DESCRIPTION -  INFORMATION LOG]])),
            C_1[[#This Row],[DESCRIPTION -  INFORMATION LOG]] &lt;&gt; "DESCRIPTION -  INFORMATION LOG"
        ),
        NOT(ISBLANK(C_1[[#This Row],[ACTION REQUIRED]]))
    ),
    "Y",
    "N"
)</f>
        <v>Y</v>
      </c>
      <c r="Y62" s="208"/>
      <c r="Z62" s="208"/>
    </row>
    <row r="63" spans="1:26" ht="30.75">
      <c r="A63" s="129" t="s">
        <v>152</v>
      </c>
      <c r="B63" s="314" t="s">
        <v>157</v>
      </c>
      <c r="C63" s="152" t="s">
        <v>81</v>
      </c>
      <c r="D63" s="144" t="s">
        <v>82</v>
      </c>
      <c r="E63" s="260" t="s">
        <v>158</v>
      </c>
      <c r="F63" s="311" t="s">
        <v>159</v>
      </c>
      <c r="G63" s="287" t="s">
        <v>85</v>
      </c>
      <c r="H63" s="270">
        <v>46101</v>
      </c>
      <c r="I63" s="132" t="str" cm="1">
        <f t="array" ref="I63">IFERROR(_xlfn.TEXTJOIN(" / ", TRUE, IF(OWNER_LIST[Owner Name]=C_1[[#This Row],[OWNER NAME 1]], OWNER_LIST[Owner ORG], ""), IF(OWNER_LIST[Owner Name]=C_1[[#This Row],[OWNER NAME 2]], OWNER_LIST[Owner ORG], "")), "")</f>
        <v>RPN</v>
      </c>
      <c r="J63" s="83" t="s">
        <v>25</v>
      </c>
      <c r="K63" s="262"/>
      <c r="L63" s="262"/>
      <c r="M63" s="263"/>
      <c r="N63" s="312"/>
      <c r="O63" s="313"/>
      <c r="P63" s="313"/>
      <c r="Q63" s="229"/>
      <c r="R63" s="229" t="str">
        <f xml:space="preserve"> _xlfn.CONCAT(C_1[[#This Row],[ESCALATE]], "-",C_1[[#This Row],[Row_PM]])</f>
        <v>-</v>
      </c>
      <c r="S63" s="229" t="str">
        <f xml:space="preserve"> _xlfn.CONCAT(C_1[[#This Row],[ESCALATE]], "-",C_1[[#This Row],[Notify_PM]])</f>
        <v>--</v>
      </c>
      <c r="T63" s="229">
        <f>ROW()</f>
        <v>63</v>
      </c>
      <c r="U63" s="229" t="str">
        <f>IF(C_1[[#This Row],[OWNER NAME 1]] = "", "",
   IF(_xlfn.XLOOKUP(C_1[[#This Row],[OWNER NAME 1]],OWNER_LIST[Owner Name], OWNER_LIST[Email], "") = "", "",
      _xlfn.XLOOKUP(C_1[[#This Row],[OWNER NAME 1]], OWNER_LIST[Owner Name], OWNER_LIST[Email], "")))</f>
        <v>matteo.naldi@cmbcarpi.it</v>
      </c>
      <c r="V63" s="229" t="str">
        <f>IF(C_1[[#This Row],[OWNER NAME 2]] = "", "",
   IF(_xlfn.XLOOKUP(C_1[[#This Row],[OWNER NAME 2]],OWNER_LIST[Owner Name], OWNER_LIST[Email], "") = "", "",
      _xlfn.XLOOKUP(C_1[[#This Row],[OWNER NAME 2]], OWNER_LIST[Owner Name], OWNER_LIST[Email], "")))</f>
        <v/>
      </c>
      <c r="W63" s="229" t="str">
        <f>$A$37</f>
        <v>C1</v>
      </c>
      <c r="X63" s="229" t="str">
        <f>IF(
    OR(
        AND(
            NOT(ISBLANK(C_1[[#This Row],[DESCRIPTION -  INFORMATION LOG]])),
            C_1[[#This Row],[DESCRIPTION -  INFORMATION LOG]] &lt;&gt; "DESCRIPTION -  INFORMATION LOG"
        ),
        NOT(ISBLANK(C_1[[#This Row],[ACTION REQUIRED]]))
    ),
    "Y",
    "N"
)</f>
        <v>Y</v>
      </c>
      <c r="Y63" s="208"/>
      <c r="Z63" s="208"/>
    </row>
    <row r="64" spans="1:26" ht="30.75">
      <c r="A64" s="129" t="s">
        <v>152</v>
      </c>
      <c r="B64" s="314" t="s">
        <v>160</v>
      </c>
      <c r="C64" s="152" t="s">
        <v>95</v>
      </c>
      <c r="D64" s="144" t="s">
        <v>82</v>
      </c>
      <c r="E64" s="259" t="s">
        <v>161</v>
      </c>
      <c r="F64" s="259" t="s">
        <v>162</v>
      </c>
      <c r="G64" s="287" t="s">
        <v>85</v>
      </c>
      <c r="H64" s="270">
        <v>46078</v>
      </c>
      <c r="I64" s="132" t="str" cm="1">
        <f t="array" ref="I64">IFERROR(_xlfn.TEXTJOIN(" / ", TRUE, IF(OWNER_LIST[Owner Name]=C_1[[#This Row],[OWNER NAME 1]], OWNER_LIST[Owner ORG], ""), IF(OWNER_LIST[Owner Name]=C_1[[#This Row],[OWNER NAME 2]], OWNER_LIST[Owner ORG], "")), "")</f>
        <v>SHP</v>
      </c>
      <c r="J64" s="262" t="s">
        <v>163</v>
      </c>
      <c r="K64" s="262"/>
      <c r="L64" s="262"/>
      <c r="M64" s="263"/>
      <c r="N64" s="312"/>
      <c r="O64" s="313"/>
      <c r="P64" s="313"/>
      <c r="Q64" s="229"/>
      <c r="R64" s="229" t="str">
        <f xml:space="preserve"> _xlfn.CONCAT(C_1[[#This Row],[ESCALATE]], "-",C_1[[#This Row],[Row_PM]])</f>
        <v>-</v>
      </c>
      <c r="S64" s="229" t="str">
        <f xml:space="preserve"> _xlfn.CONCAT(C_1[[#This Row],[ESCALATE]], "-",C_1[[#This Row],[Notify_PM]])</f>
        <v>--</v>
      </c>
      <c r="T64" s="229">
        <f>ROW()</f>
        <v>64</v>
      </c>
      <c r="U64" s="229" t="str">
        <f>IF(C_1[[#This Row],[OWNER NAME 1]] = "", "",
   IF(_xlfn.XLOOKUP(C_1[[#This Row],[OWNER NAME 1]],OWNER_LIST[Owner Name], OWNER_LIST[Email], "") = "", "",
      _xlfn.XLOOKUP(C_1[[#This Row],[OWNER NAME 1]], OWNER_LIST[Owner Name], OWNER_LIST[Email], "")))</f>
        <v>maximilien.montanaro@un.org</v>
      </c>
      <c r="V64" s="229" t="str">
        <f>IF(C_1[[#This Row],[OWNER NAME 2]] = "", "",
   IF(_xlfn.XLOOKUP(C_1[[#This Row],[OWNER NAME 2]],OWNER_LIST[Owner Name], OWNER_LIST[Email], "") = "", "",
      _xlfn.XLOOKUP(C_1[[#This Row],[OWNER NAME 2]], OWNER_LIST[Owner Name], OWNER_LIST[Email], "")))</f>
        <v/>
      </c>
      <c r="W64" s="229" t="str">
        <f>$A$37</f>
        <v>C1</v>
      </c>
      <c r="X64" s="229" t="str">
        <f>IF(
    OR(
        AND(
            NOT(ISBLANK(C_1[[#This Row],[DESCRIPTION -  INFORMATION LOG]])),
            C_1[[#This Row],[DESCRIPTION -  INFORMATION LOG]] &lt;&gt; "DESCRIPTION -  INFORMATION LOG"
        ),
        NOT(ISBLANK(C_1[[#This Row],[ACTION REQUIRED]]))
    ),
    "Y",
    "N"
)</f>
        <v>Y</v>
      </c>
      <c r="Y64" s="208"/>
      <c r="Z64" s="208"/>
    </row>
    <row r="65" spans="1:26" ht="45.75">
      <c r="A65" s="129" t="s">
        <v>152</v>
      </c>
      <c r="B65" s="211" t="s">
        <v>164</v>
      </c>
      <c r="C65" s="152" t="s">
        <v>95</v>
      </c>
      <c r="D65" s="144" t="s">
        <v>82</v>
      </c>
      <c r="E65" s="129" t="s">
        <v>165</v>
      </c>
      <c r="F65" s="260" t="s">
        <v>166</v>
      </c>
      <c r="G65" s="288" t="s">
        <v>93</v>
      </c>
      <c r="H65" s="93">
        <v>45966</v>
      </c>
      <c r="I65" s="132" t="str" cm="1">
        <f t="array" ref="I65">IFERROR(_xlfn.TEXTJOIN(" / ", TRUE, IF(OWNER_LIST[Owner Name]=C_1[[#This Row],[OWNER NAME 1]], OWNER_LIST[Owner ORG], ""), IF(OWNER_LIST[Owner Name]=C_1[[#This Row],[OWNER NAME 2]], OWNER_LIST[Owner ORG], "")), "")</f>
        <v>SHP / RPN</v>
      </c>
      <c r="J65" s="262" t="s">
        <v>163</v>
      </c>
      <c r="K65" s="83" t="s">
        <v>25</v>
      </c>
      <c r="L65" s="83"/>
      <c r="M65" s="133"/>
      <c r="N65" s="207"/>
      <c r="O65" s="208"/>
      <c r="P65" s="208"/>
      <c r="Q65" s="229"/>
      <c r="R65" s="229" t="str">
        <f xml:space="preserve"> _xlfn.CONCAT(C_1[[#This Row],[ESCALATE]], "-",C_1[[#This Row],[Row_PM]])</f>
        <v>-</v>
      </c>
      <c r="S65" s="229" t="str">
        <f xml:space="preserve"> _xlfn.CONCAT(C_1[[#This Row],[ESCALATE]], "-",C_1[[#This Row],[Notify_PM]])</f>
        <v>--</v>
      </c>
      <c r="T65" s="229">
        <f>ROW()</f>
        <v>65</v>
      </c>
      <c r="U65" s="229" t="str">
        <f>IF(C_1[[#This Row],[OWNER NAME 1]] = "", "",
   IF(_xlfn.XLOOKUP(C_1[[#This Row],[OWNER NAME 1]],OWNER_LIST[Owner Name], OWNER_LIST[Email], "") = "", "",
      _xlfn.XLOOKUP(C_1[[#This Row],[OWNER NAME 1]], OWNER_LIST[Owner Name], OWNER_LIST[Email], "")))</f>
        <v>maximilien.montanaro@un.org</v>
      </c>
      <c r="V65" s="229" t="str">
        <f>IF(C_1[[#This Row],[OWNER NAME 2]] = "", "",
   IF(_xlfn.XLOOKUP(C_1[[#This Row],[OWNER NAME 2]],OWNER_LIST[Owner Name], OWNER_LIST[Email], "") = "", "",
      _xlfn.XLOOKUP(C_1[[#This Row],[OWNER NAME 2]], OWNER_LIST[Owner Name], OWNER_LIST[Email], "")))</f>
        <v>matteo.naldi@cmbcarpi.it</v>
      </c>
      <c r="W65" s="229" t="str">
        <f t="shared" si="2"/>
        <v>C1</v>
      </c>
      <c r="X65" s="229" t="str">
        <f>IF(
    OR(
        AND(
            NOT(ISBLANK(C_1[[#This Row],[DESCRIPTION -  INFORMATION LOG]])),
            C_1[[#This Row],[DESCRIPTION -  INFORMATION LOG]] &lt;&gt; "DESCRIPTION -  INFORMATION LOG"
        ),
        NOT(ISBLANK(C_1[[#This Row],[ACTION REQUIRED]]))
    ),
    "Y",
    "N"
)</f>
        <v>Y</v>
      </c>
      <c r="Y65" s="208"/>
      <c r="Z65" s="208"/>
    </row>
    <row r="66" spans="1:26" s="166" customFormat="1" ht="60.75">
      <c r="A66" s="129" t="s">
        <v>152</v>
      </c>
      <c r="B66" s="211" t="s">
        <v>167</v>
      </c>
      <c r="C66" s="152" t="s">
        <v>95</v>
      </c>
      <c r="D66" s="144" t="s">
        <v>82</v>
      </c>
      <c r="E66" s="260" t="s">
        <v>168</v>
      </c>
      <c r="F66" s="260" t="s">
        <v>169</v>
      </c>
      <c r="G66" s="288" t="s">
        <v>90</v>
      </c>
      <c r="H66" s="93">
        <v>46086</v>
      </c>
      <c r="I66" s="132" t="str" cm="1">
        <f t="array" ref="I66">IFERROR(_xlfn.TEXTJOIN(" / ", TRUE, IF(OWNER_LIST[Owner Name]=C_1[[#This Row],[OWNER NAME 1]], OWNER_LIST[Owner ORG], ""), IF(OWNER_LIST[Owner Name]=C_1[[#This Row],[OWNER NAME 2]], OWNER_LIST[Owner ORG], "")), "")</f>
        <v>SHP / SHP</v>
      </c>
      <c r="J66" s="83" t="s">
        <v>163</v>
      </c>
      <c r="K66" s="83" t="s">
        <v>170</v>
      </c>
      <c r="L66" s="83"/>
      <c r="M66" s="133"/>
      <c r="N66" s="207"/>
      <c r="O66" s="208"/>
      <c r="P66" s="208"/>
      <c r="Q66" s="229"/>
      <c r="R66" s="229" t="str">
        <f xml:space="preserve"> _xlfn.CONCAT(C_1[[#This Row],[ESCALATE]], "-",C_1[[#This Row],[Row_PM]])</f>
        <v>-</v>
      </c>
      <c r="S66" s="229" t="str">
        <f xml:space="preserve"> _xlfn.CONCAT(C_1[[#This Row],[ESCALATE]], "-",C_1[[#This Row],[Notify_PM]])</f>
        <v>--</v>
      </c>
      <c r="T66" s="229">
        <f>ROW()</f>
        <v>66</v>
      </c>
      <c r="U66" s="229" t="str">
        <f>IF(C_1[[#This Row],[OWNER NAME 1]] = "", "",
   IF(_xlfn.XLOOKUP(C_1[[#This Row],[OWNER NAME 1]],OWNER_LIST[Owner Name], OWNER_LIST[Email], "") = "", "",
      _xlfn.XLOOKUP(C_1[[#This Row],[OWNER NAME 1]], OWNER_LIST[Owner Name], OWNER_LIST[Email], "")))</f>
        <v>maximilien.montanaro@un.org</v>
      </c>
      <c r="V66" s="229" t="str">
        <f>IF(C_1[[#This Row],[OWNER NAME 2]] = "", "",
   IF(_xlfn.XLOOKUP(C_1[[#This Row],[OWNER NAME 2]],OWNER_LIST[Owner Name], OWNER_LIST[Email], "") = "", "",
      _xlfn.XLOOKUP(C_1[[#This Row],[OWNER NAME 2]], OWNER_LIST[Owner Name], OWNER_LIST[Email], "")))</f>
        <v>ahoffmann@hoffmannart.ch</v>
      </c>
      <c r="W66" s="229" t="str">
        <f t="shared" si="2"/>
        <v>C1</v>
      </c>
      <c r="X66" s="229" t="str">
        <f>IF(
    OR(
        AND(
            NOT(ISBLANK(C_1[[#This Row],[DESCRIPTION -  INFORMATION LOG]])),
            C_1[[#This Row],[DESCRIPTION -  INFORMATION LOG]] &lt;&gt; "DESCRIPTION -  INFORMATION LOG"
        ),
        NOT(ISBLANK(C_1[[#This Row],[ACTION REQUIRED]]))
    ),
    "Y",
    "N"
)</f>
        <v>Y</v>
      </c>
      <c r="Y66" s="208"/>
      <c r="Z66" s="208"/>
    </row>
    <row r="67" spans="1:26" s="166" customFormat="1" ht="76.5">
      <c r="A67" s="129" t="s">
        <v>152</v>
      </c>
      <c r="B67" s="211" t="s">
        <v>171</v>
      </c>
      <c r="C67" s="152" t="s">
        <v>95</v>
      </c>
      <c r="D67" s="144" t="s">
        <v>82</v>
      </c>
      <c r="E67" s="260" t="s">
        <v>172</v>
      </c>
      <c r="F67" s="259" t="s">
        <v>173</v>
      </c>
      <c r="G67" s="288" t="s">
        <v>85</v>
      </c>
      <c r="H67" s="93">
        <v>46097</v>
      </c>
      <c r="I67" s="132" t="str" cm="1">
        <f t="array" ref="I67">IFERROR(_xlfn.TEXTJOIN(" / ", TRUE, IF(OWNER_LIST[Owner Name]=C_1[[#This Row],[OWNER NAME 1]], OWNER_LIST[Owner ORG], ""), IF(OWNER_LIST[Owner Name]=C_1[[#This Row],[OWNER NAME 2]], OWNER_LIST[Owner ORG], "")), "")</f>
        <v>RPN</v>
      </c>
      <c r="J67" s="83" t="s">
        <v>25</v>
      </c>
      <c r="K67" s="83"/>
      <c r="L67" s="83"/>
      <c r="M67" s="133"/>
      <c r="N67" s="207"/>
      <c r="O67" s="208"/>
      <c r="P67" s="208"/>
      <c r="Q67" s="229"/>
      <c r="R67" s="229" t="str">
        <f xml:space="preserve"> _xlfn.CONCAT(C_1[[#This Row],[ESCALATE]], "-",C_1[[#This Row],[Row_PM]])</f>
        <v>-</v>
      </c>
      <c r="S67" s="229" t="str">
        <f xml:space="preserve"> _xlfn.CONCAT(C_1[[#This Row],[ESCALATE]], "-",C_1[[#This Row],[Notify_PM]])</f>
        <v>--</v>
      </c>
      <c r="T67" s="229">
        <f>ROW()</f>
        <v>67</v>
      </c>
      <c r="U67" s="229" t="str">
        <f>IF(C_1[[#This Row],[OWNER NAME 1]] = "", "",
   IF(_xlfn.XLOOKUP(C_1[[#This Row],[OWNER NAME 1]],OWNER_LIST[Owner Name], OWNER_LIST[Email], "") = "", "",
      _xlfn.XLOOKUP(C_1[[#This Row],[OWNER NAME 1]], OWNER_LIST[Owner Name], OWNER_LIST[Email], "")))</f>
        <v>matteo.naldi@cmbcarpi.it</v>
      </c>
      <c r="V67" s="229" t="str">
        <f>IF(C_1[[#This Row],[OWNER NAME 2]] = "", "",
   IF(_xlfn.XLOOKUP(C_1[[#This Row],[OWNER NAME 2]],OWNER_LIST[Owner Name], OWNER_LIST[Email], "") = "", "",
      _xlfn.XLOOKUP(C_1[[#This Row],[OWNER NAME 2]], OWNER_LIST[Owner Name], OWNER_LIST[Email], "")))</f>
        <v/>
      </c>
      <c r="W67" s="229" t="str">
        <f t="shared" si="2"/>
        <v>C1</v>
      </c>
      <c r="X67" s="229" t="str">
        <f>IF(
    OR(
        AND(
            NOT(ISBLANK(C_1[[#This Row],[DESCRIPTION -  INFORMATION LOG]])),
            C_1[[#This Row],[DESCRIPTION -  INFORMATION LOG]] &lt;&gt; "DESCRIPTION -  INFORMATION LOG"
        ),
        NOT(ISBLANK(C_1[[#This Row],[ACTION REQUIRED]]))
    ),
    "Y",
    "N"
)</f>
        <v>Y</v>
      </c>
      <c r="Y67" s="208"/>
      <c r="Z67" s="208"/>
    </row>
    <row r="68" spans="1:26" s="166" customFormat="1" ht="30.75">
      <c r="A68" s="129" t="s">
        <v>152</v>
      </c>
      <c r="B68" s="314" t="s">
        <v>174</v>
      </c>
      <c r="C68" s="152" t="s">
        <v>95</v>
      </c>
      <c r="D68" s="144" t="s">
        <v>82</v>
      </c>
      <c r="E68" s="260" t="s">
        <v>175</v>
      </c>
      <c r="F68" s="145" t="s">
        <v>176</v>
      </c>
      <c r="G68" s="288" t="s">
        <v>93</v>
      </c>
      <c r="H68" s="93">
        <v>46078</v>
      </c>
      <c r="I68" s="132" t="str" cm="1">
        <f t="array" ref="I68">IFERROR(_xlfn.TEXTJOIN(" / ", TRUE, IF(OWNER_LIST[Owner Name]=C_1[[#This Row],[OWNER NAME 1]], OWNER_LIST[Owner ORG], ""), IF(OWNER_LIST[Owner Name]=C_1[[#This Row],[OWNER NAME 2]], OWNER_LIST[Owner ORG], "")), "")</f>
        <v>RPN / RPN</v>
      </c>
      <c r="J68" s="83" t="s">
        <v>98</v>
      </c>
      <c r="K68" s="83" t="s">
        <v>25</v>
      </c>
      <c r="L68" s="262"/>
      <c r="M68" s="301"/>
      <c r="N68" s="315"/>
      <c r="O68" s="313"/>
      <c r="P68" s="313"/>
      <c r="Q68" s="229"/>
      <c r="R68" s="229" t="str">
        <f xml:space="preserve"> _xlfn.CONCAT(C_1[[#This Row],[ESCALATE]], "-",C_1[[#This Row],[Row_PM]])</f>
        <v>-</v>
      </c>
      <c r="S68" s="229" t="str">
        <f xml:space="preserve"> _xlfn.CONCAT(C_1[[#This Row],[ESCALATE]], "-",C_1[[#This Row],[Notify_PM]])</f>
        <v>--</v>
      </c>
      <c r="T68" s="229">
        <f>ROW()</f>
        <v>68</v>
      </c>
      <c r="U68" s="229" t="str">
        <f>IF(C_1[[#This Row],[OWNER NAME 1]] = "", "",
   IF(_xlfn.XLOOKUP(C_1[[#This Row],[OWNER NAME 1]],OWNER_LIST[Owner Name], OWNER_LIST[Email], "") = "", "",
      _xlfn.XLOOKUP(C_1[[#This Row],[OWNER NAME 1]], OWNER_LIST[Owner Name], OWNER_LIST[Email], "")))</f>
        <v>davide.cirillo@cmbcarpi.it</v>
      </c>
      <c r="V68" s="229" t="str">
        <f>IF(C_1[[#This Row],[OWNER NAME 2]] = "", "",
   IF(_xlfn.XLOOKUP(C_1[[#This Row],[OWNER NAME 2]],OWNER_LIST[Owner Name], OWNER_LIST[Email], "") = "", "",
      _xlfn.XLOOKUP(C_1[[#This Row],[OWNER NAME 2]], OWNER_LIST[Owner Name], OWNER_LIST[Email], "")))</f>
        <v>matteo.naldi@cmbcarpi.it</v>
      </c>
      <c r="W68" s="229" t="str">
        <f>$A$37</f>
        <v>C1</v>
      </c>
      <c r="X68" s="229" t="str">
        <f>IF(
    OR(
        AND(
            NOT(ISBLANK(C_1[[#This Row],[DESCRIPTION -  INFORMATION LOG]])),
            C_1[[#This Row],[DESCRIPTION -  INFORMATION LOG]] &lt;&gt; "DESCRIPTION -  INFORMATION LOG"
        ),
        NOT(ISBLANK(C_1[[#This Row],[ACTION REQUIRED]]))
    ),
    "Y",
    "N"
)</f>
        <v>Y</v>
      </c>
      <c r="Y68" s="208"/>
      <c r="Z68" s="208"/>
    </row>
    <row r="69" spans="1:26" s="166" customFormat="1" ht="91.5">
      <c r="A69" s="129" t="s">
        <v>152</v>
      </c>
      <c r="B69" s="210" t="s">
        <v>177</v>
      </c>
      <c r="C69" s="152" t="s">
        <v>95</v>
      </c>
      <c r="D69" s="144" t="s">
        <v>82</v>
      </c>
      <c r="E69" s="251" t="s">
        <v>178</v>
      </c>
      <c r="F69" s="129" t="s">
        <v>179</v>
      </c>
      <c r="G69" s="196" t="s">
        <v>85</v>
      </c>
      <c r="H69" s="93"/>
      <c r="I69" s="132"/>
      <c r="J69" s="83"/>
      <c r="K69" s="83"/>
      <c r="L69" s="83"/>
      <c r="M69" s="133"/>
      <c r="N69" s="207"/>
      <c r="O69" s="208"/>
      <c r="P69" s="208"/>
      <c r="Q69" s="229"/>
      <c r="R69" s="229" t="str">
        <f xml:space="preserve"> _xlfn.CONCAT(C_1[[#This Row],[ESCALATE]], "-",C_1[[#This Row],[Row_PM]])</f>
        <v>-</v>
      </c>
      <c r="S69" s="229" t="str">
        <f xml:space="preserve"> _xlfn.CONCAT(C_1[[#This Row],[ESCALATE]], "-",C_1[[#This Row],[Notify_PM]])</f>
        <v>--</v>
      </c>
      <c r="T69" s="229">
        <f>ROW()</f>
        <v>69</v>
      </c>
      <c r="U69" s="229" t="str">
        <f>IF(C_1[[#This Row],[OWNER NAME 1]] = "", "",
   IF(_xlfn.XLOOKUP(C_1[[#This Row],[OWNER NAME 1]],OWNER_LIST[Owner Name], OWNER_LIST[Email], "") = "", "",
      _xlfn.XLOOKUP(C_1[[#This Row],[OWNER NAME 1]], OWNER_LIST[Owner Name], OWNER_LIST[Email], "")))</f>
        <v/>
      </c>
      <c r="V69" s="229" t="str">
        <f>IF(C_1[[#This Row],[OWNER NAME 2]] = "", "",
   IF(_xlfn.XLOOKUP(C_1[[#This Row],[OWNER NAME 2]],OWNER_LIST[Owner Name], OWNER_LIST[Email], "") = "", "",
      _xlfn.XLOOKUP(C_1[[#This Row],[OWNER NAME 2]], OWNER_LIST[Owner Name], OWNER_LIST[Email], "")))</f>
        <v/>
      </c>
      <c r="W69" s="229" t="str">
        <f t="shared" ref="W69:W85" si="3">$A$37</f>
        <v>C1</v>
      </c>
      <c r="X69" s="229" t="str">
        <f>IF(
    OR(
        AND(
            NOT(ISBLANK(C_1[[#This Row],[DESCRIPTION -  INFORMATION LOG]])),
            C_1[[#This Row],[DESCRIPTION -  INFORMATION LOG]] &lt;&gt; "DESCRIPTION -  INFORMATION LOG"
        ),
        NOT(ISBLANK(C_1[[#This Row],[ACTION REQUIRED]]))
    ),
    "Y",
    "N"
)</f>
        <v>Y</v>
      </c>
      <c r="Y69" s="208"/>
      <c r="Z69" s="208"/>
    </row>
    <row r="70" spans="1:26" s="166" customFormat="1" ht="121.5">
      <c r="A70" s="129" t="s">
        <v>180</v>
      </c>
      <c r="B70" s="211" t="s">
        <v>181</v>
      </c>
      <c r="C70" s="152" t="s">
        <v>95</v>
      </c>
      <c r="D70" s="144" t="s">
        <v>82</v>
      </c>
      <c r="E70" s="311" t="s">
        <v>182</v>
      </c>
      <c r="F70" s="252" t="s">
        <v>183</v>
      </c>
      <c r="G70" s="284" t="s">
        <v>77</v>
      </c>
      <c r="H70" s="93">
        <v>46076</v>
      </c>
      <c r="I70" s="132" t="str" cm="1">
        <f t="array" ref="I70">IFERROR(_xlfn.TEXTJOIN(" / ", TRUE, IF(OWNER_LIST[Owner Name]=C_1[[#This Row],[OWNER NAME 1]], OWNER_LIST[Owner ORG], ""), IF(OWNER_LIST[Owner Name]=C_1[[#This Row],[OWNER NAME 2]], OWNER_LIST[Owner ORG], "")), "")</f>
        <v>RPN</v>
      </c>
      <c r="J70" s="83" t="s">
        <v>27</v>
      </c>
      <c r="K70" s="83"/>
      <c r="L70" s="83"/>
      <c r="M70" s="133"/>
      <c r="N70" s="207"/>
      <c r="O70" s="208"/>
      <c r="P70" s="208"/>
      <c r="Q70" s="229"/>
      <c r="R70" s="229" t="str">
        <f xml:space="preserve"> _xlfn.CONCAT(C_1[[#This Row],[ESCALATE]], "-",C_1[[#This Row],[Row_PM]])</f>
        <v>-</v>
      </c>
      <c r="S70" s="229" t="str">
        <f xml:space="preserve"> _xlfn.CONCAT(C_1[[#This Row],[ESCALATE]], "-",C_1[[#This Row],[Notify_PM]])</f>
        <v>--</v>
      </c>
      <c r="T70" s="229">
        <f>ROW()</f>
        <v>70</v>
      </c>
      <c r="U70" s="229" t="str">
        <f>IF(C_1[[#This Row],[OWNER NAME 1]] = "", "",
   IF(_xlfn.XLOOKUP(C_1[[#This Row],[OWNER NAME 1]],OWNER_LIST[Owner Name], OWNER_LIST[Email], "") = "", "",
      _xlfn.XLOOKUP(C_1[[#This Row],[OWNER NAME 1]], OWNER_LIST[Owner Name], OWNER_LIST[Email], "")))</f>
        <v>jessica.donatelli@cmbcarpi.it</v>
      </c>
      <c r="V70" s="229" t="str">
        <f>IF(C_1[[#This Row],[OWNER NAME 2]] = "", "",
   IF(_xlfn.XLOOKUP(C_1[[#This Row],[OWNER NAME 2]],OWNER_LIST[Owner Name], OWNER_LIST[Email], "") = "", "",
      _xlfn.XLOOKUP(C_1[[#This Row],[OWNER NAME 2]], OWNER_LIST[Owner Name], OWNER_LIST[Email], "")))</f>
        <v/>
      </c>
      <c r="W70" s="229" t="str">
        <f t="shared" si="2"/>
        <v>C1</v>
      </c>
      <c r="X70" s="229" t="str">
        <f>IF(
    OR(
        AND(
            NOT(ISBLANK(C_1[[#This Row],[DESCRIPTION -  INFORMATION LOG]])),
            C_1[[#This Row],[DESCRIPTION -  INFORMATION LOG]] &lt;&gt; "DESCRIPTION -  INFORMATION LOG"
        ),
        NOT(ISBLANK(C_1[[#This Row],[ACTION REQUIRED]]))
    ),
    "Y",
    "N"
)</f>
        <v>Y</v>
      </c>
      <c r="Y70" s="208"/>
      <c r="Z70" s="208"/>
    </row>
    <row r="71" spans="1:26" ht="106.5">
      <c r="A71" s="129" t="s">
        <v>152</v>
      </c>
      <c r="B71" s="187" t="s">
        <v>184</v>
      </c>
      <c r="C71" s="129" t="s">
        <v>81</v>
      </c>
      <c r="D71" s="129" t="s">
        <v>82</v>
      </c>
      <c r="E71" s="276" t="s">
        <v>185</v>
      </c>
      <c r="F71" s="259" t="s">
        <v>186</v>
      </c>
      <c r="G71" s="196" t="s">
        <v>85</v>
      </c>
      <c r="H71" s="93">
        <v>46087</v>
      </c>
      <c r="I71" s="132" t="str" cm="1">
        <f t="array" ref="I71">IFERROR(_xlfn.TEXTJOIN(" / ", TRUE, IF(OWNER_LIST[Owner Name]=C_1[[#This Row],[OWNER NAME 1]], OWNER_LIST[Owner ORG], ""), IF(OWNER_LIST[Owner Name]=C_1[[#This Row],[OWNER NAME 2]], OWNER_LIST[Owner ORG], "")), "")</f>
        <v>RPN / RPN</v>
      </c>
      <c r="J71" s="143" t="s">
        <v>32</v>
      </c>
      <c r="K71" s="143" t="s">
        <v>25</v>
      </c>
      <c r="L71" s="143"/>
      <c r="M71" s="133"/>
      <c r="N71" s="207"/>
      <c r="O71" s="208"/>
      <c r="P71" s="127"/>
      <c r="Q71" s="229"/>
      <c r="R71" s="229" t="str">
        <f xml:space="preserve"> _xlfn.CONCAT(C_1[[#This Row],[ESCALATE]], "-",C_1[[#This Row],[Row_PM]])</f>
        <v>-</v>
      </c>
      <c r="S71" s="229" t="str">
        <f xml:space="preserve"> _xlfn.CONCAT(C_1[[#This Row],[ESCALATE]], "-",C_1[[#This Row],[Notify_PM]])</f>
        <v>--</v>
      </c>
      <c r="T71" s="230">
        <f>ROW()</f>
        <v>71</v>
      </c>
      <c r="U71" s="231" t="str">
        <f>IF(C_1[[#This Row],[OWNER NAME 1]] = "", "",
   IF(_xlfn.XLOOKUP(C_1[[#This Row],[OWNER NAME 1]],OWNER_LIST[Owner Name], OWNER_LIST[Email], "") = "", "",
      _xlfn.XLOOKUP(C_1[[#This Row],[OWNER NAME 1]], OWNER_LIST[Owner Name], OWNER_LIST[Email], "")))</f>
        <v>hacir.degirmencioglu@rpn-sa.ch</v>
      </c>
      <c r="V71" s="231" t="str">
        <f>IF(C_1[[#This Row],[OWNER NAME 2]] = "", "",
   IF(_xlfn.XLOOKUP(C_1[[#This Row],[OWNER NAME 2]],OWNER_LIST[Owner Name], OWNER_LIST[Email], "") = "", "",
      _xlfn.XLOOKUP(C_1[[#This Row],[OWNER NAME 2]], OWNER_LIST[Owner Name], OWNER_LIST[Email], "")))</f>
        <v>matteo.naldi@cmbcarpi.it</v>
      </c>
      <c r="W71" s="230" t="str">
        <f t="shared" si="3"/>
        <v>C1</v>
      </c>
      <c r="X71" s="232" t="str">
        <f>IF(
    OR(
        AND(
            NOT(ISBLANK(C_1[[#This Row],[DESCRIPTION -  INFORMATION LOG]])),
            C_1[[#This Row],[DESCRIPTION -  INFORMATION LOG]] &lt;&gt; "DESCRIPTION -  INFORMATION LOG"
        ),
        NOT(ISBLANK(C_1[[#This Row],[ACTION REQUIRED]]))
    ),
    "Y",
    "N"
)</f>
        <v>Y</v>
      </c>
      <c r="Y71" s="208"/>
      <c r="Z71" s="208"/>
    </row>
    <row r="72" spans="1:26" s="166" customFormat="1" ht="60.75">
      <c r="A72" s="129" t="s">
        <v>152</v>
      </c>
      <c r="B72" s="211" t="s">
        <v>187</v>
      </c>
      <c r="C72" s="152" t="s">
        <v>95</v>
      </c>
      <c r="D72" s="144" t="s">
        <v>82</v>
      </c>
      <c r="E72" s="129" t="s">
        <v>188</v>
      </c>
      <c r="F72" s="260" t="s">
        <v>189</v>
      </c>
      <c r="G72" s="288" t="s">
        <v>93</v>
      </c>
      <c r="H72" s="93">
        <v>46027</v>
      </c>
      <c r="I72" s="132" t="str" cm="1">
        <f t="array" ref="I72">IFERROR(_xlfn.TEXTJOIN(" / ", TRUE, IF(OWNER_LIST[Owner Name]=C_1[[#This Row],[OWNER NAME 1]], OWNER_LIST[Owner ORG], ""), IF(OWNER_LIST[Owner Name]=C_1[[#This Row],[OWNER NAME 2]], OWNER_LIST[Owner ORG], "")), "")</f>
        <v>RPN</v>
      </c>
      <c r="J72" s="83" t="s">
        <v>28</v>
      </c>
      <c r="K72" s="83"/>
      <c r="L72" s="83"/>
      <c r="M72" s="133"/>
      <c r="N72" s="207"/>
      <c r="O72" s="208"/>
      <c r="P72" s="208"/>
      <c r="Q72" s="229"/>
      <c r="R72" s="229" t="str">
        <f xml:space="preserve"> _xlfn.CONCAT(C_1[[#This Row],[ESCALATE]], "-",C_1[[#This Row],[Row_PM]])</f>
        <v>-</v>
      </c>
      <c r="S72" s="229" t="str">
        <f xml:space="preserve"> _xlfn.CONCAT(C_1[[#This Row],[ESCALATE]], "-",C_1[[#This Row],[Notify_PM]])</f>
        <v>--</v>
      </c>
      <c r="T72" s="229">
        <f>ROW()</f>
        <v>72</v>
      </c>
      <c r="U72" s="229" t="str">
        <f>IF(C_1[[#This Row],[OWNER NAME 1]] = "", "",
   IF(_xlfn.XLOOKUP(C_1[[#This Row],[OWNER NAME 1]],OWNER_LIST[Owner Name], OWNER_LIST[Email], "") = "", "",
      _xlfn.XLOOKUP(C_1[[#This Row],[OWNER NAME 1]], OWNER_LIST[Owner Name], OWNER_LIST[Email], "")))</f>
        <v>federica.brunone@cmbcarpi.it</v>
      </c>
      <c r="V72" s="229" t="str">
        <f>IF(C_1[[#This Row],[OWNER NAME 2]] = "", "",
   IF(_xlfn.XLOOKUP(C_1[[#This Row],[OWNER NAME 2]],OWNER_LIST[Owner Name], OWNER_LIST[Email], "") = "", "",
      _xlfn.XLOOKUP(C_1[[#This Row],[OWNER NAME 2]], OWNER_LIST[Owner Name], OWNER_LIST[Email], "")))</f>
        <v/>
      </c>
      <c r="W72" s="229" t="str">
        <f t="shared" si="3"/>
        <v>C1</v>
      </c>
      <c r="X72" s="229" t="str">
        <f>IF(
    OR(
        AND(
            NOT(ISBLANK(C_1[[#This Row],[DESCRIPTION -  INFORMATION LOG]])),
            C_1[[#This Row],[DESCRIPTION -  INFORMATION LOG]] &lt;&gt; "DESCRIPTION -  INFORMATION LOG"
        ),
        NOT(ISBLANK(C_1[[#This Row],[ACTION REQUIRED]]))
    ),
    "Y",
    "N"
)</f>
        <v>Y</v>
      </c>
      <c r="Y72" s="208"/>
      <c r="Z72" s="208"/>
    </row>
    <row r="73" spans="1:26" s="166" customFormat="1" ht="60.75">
      <c r="A73" s="129" t="s">
        <v>152</v>
      </c>
      <c r="B73" s="211" t="s">
        <v>190</v>
      </c>
      <c r="C73" s="152" t="s">
        <v>81</v>
      </c>
      <c r="D73" s="144" t="s">
        <v>82</v>
      </c>
      <c r="E73" s="311" t="s">
        <v>191</v>
      </c>
      <c r="F73" s="145" t="s">
        <v>192</v>
      </c>
      <c r="G73" s="284" t="s">
        <v>90</v>
      </c>
      <c r="H73" s="155">
        <v>46066</v>
      </c>
      <c r="I73" s="132" t="str" cm="1">
        <f t="array" ref="I73">IFERROR(_xlfn.TEXTJOIN(" / ", TRUE, IF(OWNER_LIST[Owner Name]=C_1[[#This Row],[OWNER NAME 1]], OWNER_LIST[Owner ORG], ""), IF(OWNER_LIST[Owner Name]=C_1[[#This Row],[OWNER NAME 2]], OWNER_LIST[Owner ORG], "")), "")</f>
        <v>RPN</v>
      </c>
      <c r="J73" s="83" t="s">
        <v>25</v>
      </c>
      <c r="K73" s="83"/>
      <c r="L73" s="83"/>
      <c r="M73" s="133"/>
      <c r="N73" s="207"/>
      <c r="O73" s="208"/>
      <c r="P73" s="208"/>
      <c r="Q73" s="229"/>
      <c r="R73" s="229" t="str">
        <f xml:space="preserve"> _xlfn.CONCAT(C_1[[#This Row],[ESCALATE]], "-",C_1[[#This Row],[Row_PM]])</f>
        <v>-</v>
      </c>
      <c r="S73" s="229" t="str">
        <f xml:space="preserve"> _xlfn.CONCAT(C_1[[#This Row],[ESCALATE]], "-",C_1[[#This Row],[Notify_PM]])</f>
        <v>--</v>
      </c>
      <c r="T73" s="229">
        <f>ROW()</f>
        <v>73</v>
      </c>
      <c r="U73" s="229" t="str">
        <f>IF(C_1[[#This Row],[OWNER NAME 1]] = "", "",
   IF(_xlfn.XLOOKUP(C_1[[#This Row],[OWNER NAME 1]],OWNER_LIST[Owner Name], OWNER_LIST[Email], "") = "", "",
      _xlfn.XLOOKUP(C_1[[#This Row],[OWNER NAME 1]], OWNER_LIST[Owner Name], OWNER_LIST[Email], "")))</f>
        <v>matteo.naldi@cmbcarpi.it</v>
      </c>
      <c r="V73" s="229" t="str">
        <f>IF(C_1[[#This Row],[OWNER NAME 2]] = "", "",
   IF(_xlfn.XLOOKUP(C_1[[#This Row],[OWNER NAME 2]],OWNER_LIST[Owner Name], OWNER_LIST[Email], "") = "", "",
      _xlfn.XLOOKUP(C_1[[#This Row],[OWNER NAME 2]], OWNER_LIST[Owner Name], OWNER_LIST[Email], "")))</f>
        <v/>
      </c>
      <c r="W73" s="229" t="str">
        <f t="shared" si="3"/>
        <v>C1</v>
      </c>
      <c r="X73" s="229" t="str">
        <f>IF(
    OR(
        AND(
            NOT(ISBLANK(C_1[[#This Row],[DESCRIPTION -  INFORMATION LOG]])),
            C_1[[#This Row],[DESCRIPTION -  INFORMATION LOG]] &lt;&gt; "DESCRIPTION -  INFORMATION LOG"
        ),
        NOT(ISBLANK(C_1[[#This Row],[ACTION REQUIRED]]))
    ),
    "Y",
    "N"
)</f>
        <v>Y</v>
      </c>
      <c r="Y73" s="208"/>
      <c r="Z73" s="208"/>
    </row>
    <row r="74" spans="1:26" s="166" customFormat="1" ht="45.75">
      <c r="A74" s="129" t="s">
        <v>152</v>
      </c>
      <c r="B74" s="211" t="s">
        <v>193</v>
      </c>
      <c r="C74" s="152" t="s">
        <v>81</v>
      </c>
      <c r="D74" s="144" t="s">
        <v>82</v>
      </c>
      <c r="E74" s="129" t="s">
        <v>194</v>
      </c>
      <c r="F74" s="298" t="s">
        <v>195</v>
      </c>
      <c r="G74" s="288" t="s">
        <v>93</v>
      </c>
      <c r="H74" s="93">
        <v>46055</v>
      </c>
      <c r="I74" s="132" t="str" cm="1">
        <f t="array" ref="I74">IFERROR(_xlfn.TEXTJOIN(" / ", TRUE, IF(OWNER_LIST[Owner Name]=C_1[[#This Row],[OWNER NAME 1]], OWNER_LIST[Owner ORG], ""), IF(OWNER_LIST[Owner Name]=C_1[[#This Row],[OWNER NAME 2]], OWNER_LIST[Owner ORG], "")), "")</f>
        <v>RPN</v>
      </c>
      <c r="J74" s="83" t="s">
        <v>28</v>
      </c>
      <c r="K74" s="83"/>
      <c r="L74" s="83"/>
      <c r="M74" s="133"/>
      <c r="N74" s="207"/>
      <c r="O74" s="208"/>
      <c r="P74" s="208"/>
      <c r="Q74" s="229"/>
      <c r="R74" s="229" t="str">
        <f xml:space="preserve"> _xlfn.CONCAT(C_1[[#This Row],[ESCALATE]], "-",C_1[[#This Row],[Row_PM]])</f>
        <v>-</v>
      </c>
      <c r="S74" s="229" t="str">
        <f xml:space="preserve"> _xlfn.CONCAT(C_1[[#This Row],[ESCALATE]], "-",C_1[[#This Row],[Notify_PM]])</f>
        <v>--</v>
      </c>
      <c r="T74" s="229">
        <f>ROW()</f>
        <v>74</v>
      </c>
      <c r="U74" s="229" t="str">
        <f>IF(C_1[[#This Row],[OWNER NAME 1]] = "", "",
   IF(_xlfn.XLOOKUP(C_1[[#This Row],[OWNER NAME 1]],OWNER_LIST[Owner Name], OWNER_LIST[Email], "") = "", "",
      _xlfn.XLOOKUP(C_1[[#This Row],[OWNER NAME 1]], OWNER_LIST[Owner Name], OWNER_LIST[Email], "")))</f>
        <v>federica.brunone@cmbcarpi.it</v>
      </c>
      <c r="V74" s="229" t="str">
        <f>IF(C_1[[#This Row],[OWNER NAME 2]] = "", "",
   IF(_xlfn.XLOOKUP(C_1[[#This Row],[OWNER NAME 2]],OWNER_LIST[Owner Name], OWNER_LIST[Email], "") = "", "",
      _xlfn.XLOOKUP(C_1[[#This Row],[OWNER NAME 2]], OWNER_LIST[Owner Name], OWNER_LIST[Email], "")))</f>
        <v/>
      </c>
      <c r="W74" s="229" t="str">
        <f t="shared" si="3"/>
        <v>C1</v>
      </c>
      <c r="X74" s="229" t="str">
        <f>IF(
    OR(
        AND(
            NOT(ISBLANK(C_1[[#This Row],[DESCRIPTION -  INFORMATION LOG]])),
            C_1[[#This Row],[DESCRIPTION -  INFORMATION LOG]] &lt;&gt; "DESCRIPTION -  INFORMATION LOG"
        ),
        NOT(ISBLANK(C_1[[#This Row],[ACTION REQUIRED]]))
    ),
    "Y",
    "N"
)</f>
        <v>Y</v>
      </c>
      <c r="Y74" s="208"/>
      <c r="Z74" s="208"/>
    </row>
    <row r="75" spans="1:26" s="166" customFormat="1" ht="30.75">
      <c r="A75" s="129" t="s">
        <v>152</v>
      </c>
      <c r="B75" s="211" t="s">
        <v>196</v>
      </c>
      <c r="C75" s="152" t="s">
        <v>95</v>
      </c>
      <c r="D75" s="144" t="s">
        <v>82</v>
      </c>
      <c r="E75" s="311" t="s">
        <v>197</v>
      </c>
      <c r="F75" s="311" t="s">
        <v>198</v>
      </c>
      <c r="G75" s="284" t="s">
        <v>90</v>
      </c>
      <c r="H75" s="93">
        <v>45994</v>
      </c>
      <c r="I75" s="132" t="str" cm="1">
        <f t="array" ref="I75">IFERROR(_xlfn.TEXTJOIN(" / ", TRUE, IF(OWNER_LIST[Owner Name]=C_1[[#This Row],[OWNER NAME 1]], OWNER_LIST[Owner ORG], ""), IF(OWNER_LIST[Owner Name]=C_1[[#This Row],[OWNER NAME 2]], OWNER_LIST[Owner ORG], "")), "")</f>
        <v>RPN / SHP</v>
      </c>
      <c r="J75" s="83" t="s">
        <v>31</v>
      </c>
      <c r="K75" s="83" t="s">
        <v>170</v>
      </c>
      <c r="L75" s="83"/>
      <c r="M75" s="133"/>
      <c r="N75" s="207"/>
      <c r="O75" s="208"/>
      <c r="P75" s="208"/>
      <c r="Q75" s="229"/>
      <c r="R75" s="229" t="str">
        <f xml:space="preserve"> _xlfn.CONCAT(C_1[[#This Row],[ESCALATE]], "-",C_1[[#This Row],[Row_PM]])</f>
        <v>-</v>
      </c>
      <c r="S75" s="229" t="str">
        <f xml:space="preserve"> _xlfn.CONCAT(C_1[[#This Row],[ESCALATE]], "-",C_1[[#This Row],[Notify_PM]])</f>
        <v>--</v>
      </c>
      <c r="T75" s="229">
        <f>ROW()</f>
        <v>75</v>
      </c>
      <c r="U75" s="229" t="str">
        <f>IF(C_1[[#This Row],[OWNER NAME 1]] = "", "",
   IF(_xlfn.XLOOKUP(C_1[[#This Row],[OWNER NAME 1]],OWNER_LIST[Owner Name], OWNER_LIST[Email], "") = "", "",
      _xlfn.XLOOKUP(C_1[[#This Row],[OWNER NAME 1]], OWNER_LIST[Owner Name], OWNER_LIST[Email], "")))</f>
        <v>martina.maffioletti@rpn-sa.ch</v>
      </c>
      <c r="V75" s="229" t="str">
        <f>IF(C_1[[#This Row],[OWNER NAME 2]] = "", "",
   IF(_xlfn.XLOOKUP(C_1[[#This Row],[OWNER NAME 2]],OWNER_LIST[Owner Name], OWNER_LIST[Email], "") = "", "",
      _xlfn.XLOOKUP(C_1[[#This Row],[OWNER NAME 2]], OWNER_LIST[Owner Name], OWNER_LIST[Email], "")))</f>
        <v>ahoffmann@hoffmannart.ch</v>
      </c>
      <c r="W75" s="229" t="str">
        <f t="shared" si="3"/>
        <v>C1</v>
      </c>
      <c r="X75" s="229" t="str">
        <f>IF(
    OR(
        AND(
            NOT(ISBLANK(C_1[[#This Row],[DESCRIPTION -  INFORMATION LOG]])),
            C_1[[#This Row],[DESCRIPTION -  INFORMATION LOG]] &lt;&gt; "DESCRIPTION -  INFORMATION LOG"
        ),
        NOT(ISBLANK(C_1[[#This Row],[ACTION REQUIRED]]))
    ),
    "Y",
    "N"
)</f>
        <v>Y</v>
      </c>
      <c r="Y75" s="208"/>
      <c r="Z75" s="208"/>
    </row>
    <row r="76" spans="1:26" s="166" customFormat="1" ht="60.75">
      <c r="A76" s="129" t="s">
        <v>152</v>
      </c>
      <c r="B76" s="147" t="s">
        <v>199</v>
      </c>
      <c r="C76" s="129" t="s">
        <v>81</v>
      </c>
      <c r="D76" s="129" t="s">
        <v>82</v>
      </c>
      <c r="E76" s="290" t="s">
        <v>200</v>
      </c>
      <c r="F76" s="290"/>
      <c r="G76" s="284" t="s">
        <v>93</v>
      </c>
      <c r="H76" s="93">
        <v>45994</v>
      </c>
      <c r="I76" s="132" t="str" cm="1">
        <f t="array" ref="I76">IFERROR(_xlfn.TEXTJOIN(" / ", TRUE, IF(OWNER_LIST[Owner Name]=C_1[[#This Row],[OWNER NAME 1]], OWNER_LIST[Owner ORG], ""), IF(OWNER_LIST[Owner Name]=C_1[[#This Row],[OWNER NAME 2]], OWNER_LIST[Owner ORG], "")), "")</f>
        <v>RPN / RPN</v>
      </c>
      <c r="J76" s="83" t="s">
        <v>31</v>
      </c>
      <c r="K76" s="143" t="s">
        <v>25</v>
      </c>
      <c r="L76" s="143"/>
      <c r="M76" s="133"/>
      <c r="N76" s="207"/>
      <c r="O76" s="208"/>
      <c r="P76" s="127"/>
      <c r="Q76" s="229"/>
      <c r="R76" s="229" t="str">
        <f xml:space="preserve"> _xlfn.CONCAT(C_1[[#This Row],[ESCALATE]], "-",C_1[[#This Row],[Row_PM]])</f>
        <v>-</v>
      </c>
      <c r="S76" s="229" t="str">
        <f xml:space="preserve"> _xlfn.CONCAT(C_1[[#This Row],[ESCALATE]], "-",C_1[[#This Row],[Notify_PM]])</f>
        <v>--</v>
      </c>
      <c r="T76" s="230">
        <f>ROW()</f>
        <v>76</v>
      </c>
      <c r="U76" s="231" t="str">
        <f>IF(C_1[[#This Row],[OWNER NAME 1]] = "", "",
   IF(_xlfn.XLOOKUP(C_1[[#This Row],[OWNER NAME 1]],OWNER_LIST[Owner Name], OWNER_LIST[Email], "") = "", "",
      _xlfn.XLOOKUP(C_1[[#This Row],[OWNER NAME 1]], OWNER_LIST[Owner Name], OWNER_LIST[Email], "")))</f>
        <v>martina.maffioletti@rpn-sa.ch</v>
      </c>
      <c r="V76" s="231" t="str">
        <f>IF(C_1[[#This Row],[OWNER NAME 2]] = "", "",
   IF(_xlfn.XLOOKUP(C_1[[#This Row],[OWNER NAME 2]],OWNER_LIST[Owner Name], OWNER_LIST[Email], "") = "", "",
      _xlfn.XLOOKUP(C_1[[#This Row],[OWNER NAME 2]], OWNER_LIST[Owner Name], OWNER_LIST[Email], "")))</f>
        <v>matteo.naldi@cmbcarpi.it</v>
      </c>
      <c r="W76" s="230" t="str">
        <f t="shared" si="3"/>
        <v>C1</v>
      </c>
      <c r="X76" s="232" t="str">
        <f>IF(
    OR(
        AND(
            NOT(ISBLANK(C_1[[#This Row],[DESCRIPTION -  INFORMATION LOG]])),
            C_1[[#This Row],[DESCRIPTION -  INFORMATION LOG]] &lt;&gt; "DESCRIPTION -  INFORMATION LOG"
        ),
        NOT(ISBLANK(C_1[[#This Row],[ACTION REQUIRED]]))
    ),
    "Y",
    "N"
)</f>
        <v>Y</v>
      </c>
      <c r="Y76" s="208"/>
      <c r="Z76" s="208"/>
    </row>
    <row r="77" spans="1:26" ht="30.75">
      <c r="A77" s="129" t="s">
        <v>152</v>
      </c>
      <c r="B77" s="264" t="s">
        <v>201</v>
      </c>
      <c r="C77" s="129" t="s">
        <v>81</v>
      </c>
      <c r="D77" s="129" t="s">
        <v>82</v>
      </c>
      <c r="E77" s="259" t="s">
        <v>202</v>
      </c>
      <c r="F77" s="259"/>
      <c r="G77" s="289" t="s">
        <v>93</v>
      </c>
      <c r="H77" s="93">
        <v>45994</v>
      </c>
      <c r="I77" s="132" t="str" cm="1">
        <f t="array" ref="I77">IFERROR(_xlfn.TEXTJOIN(" / ", TRUE, IF(OWNER_LIST[Owner Name]=C_1[[#This Row],[OWNER NAME 1]], OWNER_LIST[Owner ORG], ""), IF(OWNER_LIST[Owner Name]=C_1[[#This Row],[OWNER NAME 2]], OWNER_LIST[Owner ORG], "")), "")</f>
        <v>RPN</v>
      </c>
      <c r="J77" s="266"/>
      <c r="K77" s="143" t="s">
        <v>25</v>
      </c>
      <c r="L77" s="266"/>
      <c r="M77" s="263"/>
      <c r="N77" s="312"/>
      <c r="O77" s="313"/>
      <c r="P77" s="268"/>
      <c r="Q77" s="229"/>
      <c r="R77" s="229" t="str">
        <f xml:space="preserve"> _xlfn.CONCAT(C_1[[#This Row],[ESCALATE]], "-",C_1[[#This Row],[Row_PM]])</f>
        <v>-</v>
      </c>
      <c r="S77" s="229" t="str">
        <f xml:space="preserve"> _xlfn.CONCAT(C_1[[#This Row],[ESCALATE]], "-",C_1[[#This Row],[Notify_PM]])</f>
        <v>--</v>
      </c>
      <c r="T77" s="230">
        <f>ROW()</f>
        <v>77</v>
      </c>
      <c r="U77" s="231" t="str">
        <f>IF(C_1[[#This Row],[OWNER NAME 1]] = "", "",
   IF(_xlfn.XLOOKUP(C_1[[#This Row],[OWNER NAME 1]],OWNER_LIST[Owner Name], OWNER_LIST[Email], "") = "", "",
      _xlfn.XLOOKUP(C_1[[#This Row],[OWNER NAME 1]], OWNER_LIST[Owner Name], OWNER_LIST[Email], "")))</f>
        <v/>
      </c>
      <c r="V77" s="231" t="str">
        <f>IF(C_1[[#This Row],[OWNER NAME 2]] = "", "",
   IF(_xlfn.XLOOKUP(C_1[[#This Row],[OWNER NAME 2]],OWNER_LIST[Owner Name], OWNER_LIST[Email], "") = "", "",
      _xlfn.XLOOKUP(C_1[[#This Row],[OWNER NAME 2]], OWNER_LIST[Owner Name], OWNER_LIST[Email], "")))</f>
        <v>matteo.naldi@cmbcarpi.it</v>
      </c>
      <c r="W77" s="230" t="str">
        <f>$A$37</f>
        <v>C1</v>
      </c>
      <c r="X77" s="232" t="str">
        <f>IF(
    OR(
        AND(
            NOT(ISBLANK(C_1[[#This Row],[DESCRIPTION -  INFORMATION LOG]])),
            C_1[[#This Row],[DESCRIPTION -  INFORMATION LOG]] &lt;&gt; "DESCRIPTION -  INFORMATION LOG"
        ),
        NOT(ISBLANK(C_1[[#This Row],[ACTION REQUIRED]]))
    ),
    "Y",
    "N"
)</f>
        <v>Y</v>
      </c>
      <c r="Y77" s="208"/>
      <c r="Z77" s="208"/>
    </row>
    <row r="78" spans="1:26" customFormat="1" ht="60.75">
      <c r="A78" s="129" t="s">
        <v>152</v>
      </c>
      <c r="B78" s="264" t="s">
        <v>203</v>
      </c>
      <c r="C78" s="129" t="s">
        <v>95</v>
      </c>
      <c r="D78" s="129" t="s">
        <v>82</v>
      </c>
      <c r="E78" s="259" t="s">
        <v>204</v>
      </c>
      <c r="F78" s="259" t="s">
        <v>205</v>
      </c>
      <c r="G78" s="289" t="s">
        <v>77</v>
      </c>
      <c r="H78" s="275">
        <v>46087</v>
      </c>
      <c r="I78" s="132" t="str" cm="1">
        <f t="array" ref="I78">IFERROR(_xlfn.TEXTJOIN(" / ", TRUE, IF(OWNER_LIST[Owner Name]=C_1[[#This Row],[OWNER NAME 1]], OWNER_LIST[Owner ORG], ""), IF(OWNER_LIST[Owner Name]=C_1[[#This Row],[OWNER NAME 2]], OWNER_LIST[Owner ORG], "")), "")</f>
        <v>RPN / SOMBP</v>
      </c>
      <c r="J78" s="266" t="s">
        <v>29</v>
      </c>
      <c r="K78" s="266" t="s">
        <v>44</v>
      </c>
      <c r="L78" s="266"/>
      <c r="M78" s="263"/>
      <c r="N78" s="312"/>
      <c r="O78" s="313"/>
      <c r="P78" s="268"/>
      <c r="Q78" s="229"/>
      <c r="R78" s="229" t="str">
        <f xml:space="preserve"> _xlfn.CONCAT(C_1[[#This Row],[ESCALATE]], "-",C_1[[#This Row],[Row_PM]])</f>
        <v>-</v>
      </c>
      <c r="S78" s="229" t="str">
        <f xml:space="preserve"> _xlfn.CONCAT(C_1[[#This Row],[ESCALATE]], "-",C_1[[#This Row],[Notify_PM]])</f>
        <v>--</v>
      </c>
      <c r="T78" s="230">
        <f>ROW()</f>
        <v>78</v>
      </c>
      <c r="U78" s="231" t="str">
        <f>IF(C_1[[#This Row],[OWNER NAME 1]] = "", "",
   IF(_xlfn.XLOOKUP(C_1[[#This Row],[OWNER NAME 1]],OWNER_LIST[Owner Name], OWNER_LIST[Email], "") = "", "",
      _xlfn.XLOOKUP(C_1[[#This Row],[OWNER NAME 1]], OWNER_LIST[Owner Name], OWNER_LIST[Email], "")))</f>
        <v>chiara.redepaolini@rpn-sa.ch</v>
      </c>
      <c r="V78" s="231" t="str">
        <f>IF(C_1[[#This Row],[OWNER NAME 2]] = "", "",
   IF(_xlfn.XLOOKUP(C_1[[#This Row],[OWNER NAME 2]],OWNER_LIST[Owner Name], OWNER_LIST[Email], "") = "", "",
      _xlfn.XLOOKUP(C_1[[#This Row],[OWNER NAME 2]], OWNER_LIST[Owner Name], OWNER_LIST[Email], "")))</f>
        <v>lucille.treilledegrandsaigne@burckhardt.swiss</v>
      </c>
      <c r="W78" s="230" t="str">
        <f>$A$37</f>
        <v>C1</v>
      </c>
      <c r="X78" s="232" t="str">
        <f>IF(
    OR(
        AND(
            NOT(ISBLANK(C_1[[#This Row],[DESCRIPTION -  INFORMATION LOG]])),
            C_1[[#This Row],[DESCRIPTION -  INFORMATION LOG]] &lt;&gt; "DESCRIPTION -  INFORMATION LOG"
        ),
        NOT(ISBLANK(C_1[[#This Row],[ACTION REQUIRED]]))
    ),
    "Y",
    "N"
)</f>
        <v>Y</v>
      </c>
    </row>
    <row r="79" spans="1:26" s="166" customFormat="1" ht="45.75">
      <c r="A79" s="129" t="s">
        <v>152</v>
      </c>
      <c r="B79" s="264" t="s">
        <v>206</v>
      </c>
      <c r="C79" s="129" t="s">
        <v>95</v>
      </c>
      <c r="D79" s="129" t="s">
        <v>82</v>
      </c>
      <c r="E79" s="259" t="s">
        <v>207</v>
      </c>
      <c r="F79" s="259" t="s">
        <v>208</v>
      </c>
      <c r="G79" s="289" t="s">
        <v>85</v>
      </c>
      <c r="H79" s="275">
        <v>46101</v>
      </c>
      <c r="I79" s="132" t="str" cm="1">
        <f t="array" ref="I79">IFERROR(_xlfn.TEXTJOIN(" / ", TRUE, IF(OWNER_LIST[Owner Name]=C_1[[#This Row],[OWNER NAME 1]], OWNER_LIST[Owner ORG], ""), IF(OWNER_LIST[Owner Name]=C_1[[#This Row],[OWNER NAME 2]], OWNER_LIST[Owner ORG], "")), "")</f>
        <v>SHP</v>
      </c>
      <c r="J79" s="266" t="s">
        <v>163</v>
      </c>
      <c r="K79" s="266"/>
      <c r="L79" s="266"/>
      <c r="M79" s="263"/>
      <c r="N79" s="312"/>
      <c r="O79" s="313"/>
      <c r="P79" s="268"/>
      <c r="Q79" s="229"/>
      <c r="R79" s="229" t="str">
        <f xml:space="preserve"> _xlfn.CONCAT(C_1[[#This Row],[ESCALATE]], "-",C_1[[#This Row],[Row_PM]])</f>
        <v>-</v>
      </c>
      <c r="S79" s="229" t="str">
        <f xml:space="preserve"> _xlfn.CONCAT(C_1[[#This Row],[ESCALATE]], "-",C_1[[#This Row],[Notify_PM]])</f>
        <v>--</v>
      </c>
      <c r="T79" s="230">
        <f>ROW()</f>
        <v>79</v>
      </c>
      <c r="U79" s="231" t="str">
        <f>IF(C_1[[#This Row],[OWNER NAME 1]] = "", "",
   IF(_xlfn.XLOOKUP(C_1[[#This Row],[OWNER NAME 1]],OWNER_LIST[Owner Name], OWNER_LIST[Email], "") = "", "",
      _xlfn.XLOOKUP(C_1[[#This Row],[OWNER NAME 1]], OWNER_LIST[Owner Name], OWNER_LIST[Email], "")))</f>
        <v>maximilien.montanaro@un.org</v>
      </c>
      <c r="V79" s="231" t="str">
        <f>IF(C_1[[#This Row],[OWNER NAME 2]] = "", "",
   IF(_xlfn.XLOOKUP(C_1[[#This Row],[OWNER NAME 2]],OWNER_LIST[Owner Name], OWNER_LIST[Email], "") = "", "",
      _xlfn.XLOOKUP(C_1[[#This Row],[OWNER NAME 2]], OWNER_LIST[Owner Name], OWNER_LIST[Email], "")))</f>
        <v/>
      </c>
      <c r="W79" s="230" t="str">
        <f>$A$37</f>
        <v>C1</v>
      </c>
      <c r="X79" s="232" t="str">
        <f>IF(
    OR(
        AND(
            NOT(ISBLANK(C_1[[#This Row],[DESCRIPTION -  INFORMATION LOG]])),
            C_1[[#This Row],[DESCRIPTION -  INFORMATION LOG]] &lt;&gt; "DESCRIPTION -  INFORMATION LOG"
        ),
        NOT(ISBLANK(C_1[[#This Row],[ACTION REQUIRED]]))
    ),
    "Y",
    "N"
)</f>
        <v>Y</v>
      </c>
      <c r="Y79" s="208"/>
      <c r="Z79" s="208"/>
    </row>
    <row r="80" spans="1:26" s="166" customFormat="1" ht="45.75">
      <c r="A80" s="129" t="s">
        <v>152</v>
      </c>
      <c r="B80" s="264" t="s">
        <v>209</v>
      </c>
      <c r="C80" s="129" t="s">
        <v>95</v>
      </c>
      <c r="D80" s="129" t="s">
        <v>82</v>
      </c>
      <c r="E80" s="259" t="s">
        <v>210</v>
      </c>
      <c r="F80" s="259" t="s">
        <v>211</v>
      </c>
      <c r="G80" s="289" t="s">
        <v>85</v>
      </c>
      <c r="H80" s="275">
        <v>46087</v>
      </c>
      <c r="I80" s="132" t="str" cm="1">
        <f t="array" ref="I80">IFERROR(_xlfn.TEXTJOIN(" / ", TRUE, IF(OWNER_LIST[Owner Name]=C_1[[#This Row],[OWNER NAME 1]], OWNER_LIST[Owner ORG], ""), IF(OWNER_LIST[Owner Name]=C_1[[#This Row],[OWNER NAME 2]], OWNER_LIST[Owner ORG], "")), "")</f>
        <v>RPN / RPN</v>
      </c>
      <c r="J80" s="266" t="s">
        <v>28</v>
      </c>
      <c r="K80" s="266" t="s">
        <v>25</v>
      </c>
      <c r="L80" s="266"/>
      <c r="M80" s="301"/>
      <c r="N80" s="315"/>
      <c r="O80" s="313"/>
      <c r="P80" s="268"/>
      <c r="Q80" s="229"/>
      <c r="R80" s="229" t="str">
        <f xml:space="preserve"> _xlfn.CONCAT(C_1[[#This Row],[ESCALATE]], "-",C_1[[#This Row],[Row_PM]])</f>
        <v>-</v>
      </c>
      <c r="S80" s="229" t="str">
        <f xml:space="preserve"> _xlfn.CONCAT(C_1[[#This Row],[ESCALATE]], "-",C_1[[#This Row],[Notify_PM]])</f>
        <v>--</v>
      </c>
      <c r="T80" s="230">
        <f>ROW()</f>
        <v>80</v>
      </c>
      <c r="U80" s="231" t="str">
        <f>IF(C_1[[#This Row],[OWNER NAME 1]] = "", "",
   IF(_xlfn.XLOOKUP(C_1[[#This Row],[OWNER NAME 1]],OWNER_LIST[Owner Name], OWNER_LIST[Email], "") = "", "",
      _xlfn.XLOOKUP(C_1[[#This Row],[OWNER NAME 1]], OWNER_LIST[Owner Name], OWNER_LIST[Email], "")))</f>
        <v>federica.brunone@cmbcarpi.it</v>
      </c>
      <c r="V80" s="231" t="str">
        <f>IF(C_1[[#This Row],[OWNER NAME 2]] = "", "",
   IF(_xlfn.XLOOKUP(C_1[[#This Row],[OWNER NAME 2]],OWNER_LIST[Owner Name], OWNER_LIST[Email], "") = "", "",
      _xlfn.XLOOKUP(C_1[[#This Row],[OWNER NAME 2]], OWNER_LIST[Owner Name], OWNER_LIST[Email], "")))</f>
        <v>matteo.naldi@cmbcarpi.it</v>
      </c>
      <c r="W80" s="230" t="str">
        <f>$A$37</f>
        <v>C1</v>
      </c>
      <c r="X80" s="232" t="str">
        <f>IF(
    OR(
        AND(
            NOT(ISBLANK(C_1[[#This Row],[DESCRIPTION -  INFORMATION LOG]])),
            C_1[[#This Row],[DESCRIPTION -  INFORMATION LOG]] &lt;&gt; "DESCRIPTION -  INFORMATION LOG"
        ),
        NOT(ISBLANK(C_1[[#This Row],[ACTION REQUIRED]]))
    ),
    "Y",
    "N"
)</f>
        <v>Y</v>
      </c>
      <c r="Y80" s="208"/>
      <c r="Z80" s="208"/>
    </row>
    <row r="81" spans="1:26" s="166" customFormat="1" ht="30.75">
      <c r="A81" s="129" t="s">
        <v>152</v>
      </c>
      <c r="B81" s="211" t="s">
        <v>212</v>
      </c>
      <c r="C81" s="152" t="s">
        <v>95</v>
      </c>
      <c r="D81" s="144" t="s">
        <v>82</v>
      </c>
      <c r="E81" s="145"/>
      <c r="F81" s="290" t="s">
        <v>213</v>
      </c>
      <c r="G81" s="284" t="s">
        <v>85</v>
      </c>
      <c r="H81" s="93">
        <v>45993</v>
      </c>
      <c r="I81" s="132" t="str" cm="1">
        <f t="array" ref="I81">IFERROR(_xlfn.TEXTJOIN(" / ", TRUE, IF(OWNER_LIST[Owner Name]=C_1[[#This Row],[OWNER NAME 1]], OWNER_LIST[Owner ORG], ""), IF(OWNER_LIST[Owner Name]=C_1[[#This Row],[OWNER NAME 2]], OWNER_LIST[Owner ORG], "")), "")</f>
        <v>RPN / SHP</v>
      </c>
      <c r="J81" s="83" t="s">
        <v>98</v>
      </c>
      <c r="K81" s="83" t="s">
        <v>214</v>
      </c>
      <c r="L81" s="83"/>
      <c r="M81" s="133"/>
      <c r="N81" s="207"/>
      <c r="O81" s="208"/>
      <c r="P81" s="208"/>
      <c r="Q81" s="229"/>
      <c r="R81" s="229" t="str">
        <f xml:space="preserve"> _xlfn.CONCAT(C_1[[#This Row],[ESCALATE]], "-",C_1[[#This Row],[Row_PM]])</f>
        <v>-</v>
      </c>
      <c r="S81" s="229" t="str">
        <f xml:space="preserve"> _xlfn.CONCAT(C_1[[#This Row],[ESCALATE]], "-",C_1[[#This Row],[Notify_PM]])</f>
        <v>--</v>
      </c>
      <c r="T81" s="229">
        <f>ROW()</f>
        <v>81</v>
      </c>
      <c r="U81" s="229" t="str">
        <f>IF(C_1[[#This Row],[OWNER NAME 1]] = "", "",
   IF(_xlfn.XLOOKUP(C_1[[#This Row],[OWNER NAME 1]],OWNER_LIST[Owner Name], OWNER_LIST[Email], "") = "", "",
      _xlfn.XLOOKUP(C_1[[#This Row],[OWNER NAME 1]], OWNER_LIST[Owner Name], OWNER_LIST[Email], "")))</f>
        <v>davide.cirillo@cmbcarpi.it</v>
      </c>
      <c r="V81" s="229" t="str">
        <f>IF(C_1[[#This Row],[OWNER NAME 2]] = "", "",
   IF(_xlfn.XLOOKUP(C_1[[#This Row],[OWNER NAME 2]],OWNER_LIST[Owner Name], OWNER_LIST[Email], "") = "", "",
      _xlfn.XLOOKUP(C_1[[#This Row],[OWNER NAME 2]], OWNER_LIST[Owner Name], OWNER_LIST[Email], "")))</f>
        <v>patrick.vogelsang@un.org</v>
      </c>
      <c r="W81" s="229" t="str">
        <f t="shared" si="3"/>
        <v>C1</v>
      </c>
      <c r="X81" s="229" t="str">
        <f>IF(
    OR(
        AND(
            NOT(ISBLANK(C_1[[#This Row],[DESCRIPTION -  INFORMATION LOG]])),
            C_1[[#This Row],[DESCRIPTION -  INFORMATION LOG]] &lt;&gt; "DESCRIPTION -  INFORMATION LOG"
        ),
        NOT(ISBLANK(C_1[[#This Row],[ACTION REQUIRED]]))
    ),
    "Y",
    "N"
)</f>
        <v>Y</v>
      </c>
      <c r="Y81" s="208"/>
      <c r="Z81" s="208"/>
    </row>
    <row r="82" spans="1:26" s="166" customFormat="1" ht="76.5">
      <c r="A82" s="129" t="s">
        <v>152</v>
      </c>
      <c r="B82" s="213" t="s">
        <v>215</v>
      </c>
      <c r="C82" s="152" t="s">
        <v>95</v>
      </c>
      <c r="D82" s="144" t="s">
        <v>82</v>
      </c>
      <c r="E82" s="293" t="s">
        <v>216</v>
      </c>
      <c r="F82" s="253" t="s">
        <v>217</v>
      </c>
      <c r="G82" s="284" t="s">
        <v>93</v>
      </c>
      <c r="H82" s="93">
        <v>46051</v>
      </c>
      <c r="I82" s="132" t="str" cm="1">
        <f t="array" ref="I82">IFERROR(_xlfn.TEXTJOIN(" / ", TRUE, IF(OWNER_LIST[Owner Name]=C_1[[#This Row],[OWNER NAME 1]], OWNER_LIST[Owner ORG], ""), IF(OWNER_LIST[Owner Name]=C_1[[#This Row],[OWNER NAME 2]], OWNER_LIST[Owner ORG], "")), "")</f>
        <v>RPN</v>
      </c>
      <c r="J82" s="83" t="s">
        <v>32</v>
      </c>
      <c r="K82" s="83"/>
      <c r="L82" s="83"/>
      <c r="M82" s="133"/>
      <c r="N82" s="207"/>
      <c r="O82" s="208"/>
      <c r="P82" s="208"/>
      <c r="Q82" s="229"/>
      <c r="R82" s="229" t="str">
        <f xml:space="preserve"> _xlfn.CONCAT(C_1[[#This Row],[ESCALATE]], "-",C_1[[#This Row],[Row_PM]])</f>
        <v>-</v>
      </c>
      <c r="S82" s="229" t="str">
        <f xml:space="preserve"> _xlfn.CONCAT(C_1[[#This Row],[ESCALATE]], "-",C_1[[#This Row],[Notify_PM]])</f>
        <v>--</v>
      </c>
      <c r="T82" s="229">
        <f>ROW()</f>
        <v>82</v>
      </c>
      <c r="U82" s="229" t="str">
        <f>IF(C_1[[#This Row],[OWNER NAME 1]] = "", "",
   IF(_xlfn.XLOOKUP(C_1[[#This Row],[OWNER NAME 1]],OWNER_LIST[Owner Name], OWNER_LIST[Email], "") = "", "",
      _xlfn.XLOOKUP(C_1[[#This Row],[OWNER NAME 1]], OWNER_LIST[Owner Name], OWNER_LIST[Email], "")))</f>
        <v>hacir.degirmencioglu@rpn-sa.ch</v>
      </c>
      <c r="V82" s="229" t="str">
        <f>IF(C_1[[#This Row],[OWNER NAME 2]] = "", "",
   IF(_xlfn.XLOOKUP(C_1[[#This Row],[OWNER NAME 2]],OWNER_LIST[Owner Name], OWNER_LIST[Email], "") = "", "",
      _xlfn.XLOOKUP(C_1[[#This Row],[OWNER NAME 2]], OWNER_LIST[Owner Name], OWNER_LIST[Email], "")))</f>
        <v/>
      </c>
      <c r="W82" s="229" t="str">
        <f t="shared" si="3"/>
        <v>C1</v>
      </c>
      <c r="X82" s="229" t="str">
        <f>IF(
    OR(
        AND(
            NOT(ISBLANK(C_1[[#This Row],[DESCRIPTION -  INFORMATION LOG]])),
            C_1[[#This Row],[DESCRIPTION -  INFORMATION LOG]] &lt;&gt; "DESCRIPTION -  INFORMATION LOG"
        ),
        NOT(ISBLANK(C_1[[#This Row],[ACTION REQUIRED]]))
    ),
    "Y",
    "N"
)</f>
        <v>Y</v>
      </c>
      <c r="Y82" s="208"/>
      <c r="Z82" s="208"/>
    </row>
    <row r="83" spans="1:26" s="166" customFormat="1" ht="167.25">
      <c r="A83" s="129" t="s">
        <v>218</v>
      </c>
      <c r="B83" s="87" t="s">
        <v>219</v>
      </c>
      <c r="C83" s="129" t="s">
        <v>81</v>
      </c>
      <c r="D83" s="144" t="s">
        <v>82</v>
      </c>
      <c r="E83" s="316" t="s">
        <v>220</v>
      </c>
      <c r="F83" s="282" t="s">
        <v>221</v>
      </c>
      <c r="G83" s="285" t="s">
        <v>85</v>
      </c>
      <c r="H83" s="142">
        <v>46058</v>
      </c>
      <c r="I83" s="132" t="str" cm="1">
        <f t="array" ref="I83">IFERROR(_xlfn.TEXTJOIN(" / ", TRUE, IF(OWNER_LIST[Owner Name]=C_1[[#This Row],[OWNER NAME 1]], OWNER_LIST[Owner ORG], ""), IF(OWNER_LIST[Owner Name]=C_1[[#This Row],[OWNER NAME 2]], OWNER_LIST[Owner ORG], "")), "")</f>
        <v>RPN</v>
      </c>
      <c r="J83" s="83" t="s">
        <v>30</v>
      </c>
      <c r="K83" s="83"/>
      <c r="L83" s="83"/>
      <c r="M83" s="133"/>
      <c r="N83" s="207"/>
      <c r="O83" s="208"/>
      <c r="P83" s="127"/>
      <c r="Q83" s="229"/>
      <c r="R83" s="229" t="str">
        <f xml:space="preserve"> _xlfn.CONCAT(C_1[[#This Row],[ESCALATE]], "-",C_1[[#This Row],[Row_PM]])</f>
        <v>-</v>
      </c>
      <c r="S83" s="229" t="str">
        <f xml:space="preserve"> _xlfn.CONCAT(C_1[[#This Row],[ESCALATE]], "-",C_1[[#This Row],[Notify_PM]])</f>
        <v>--</v>
      </c>
      <c r="T83" s="230">
        <f>ROW()</f>
        <v>83</v>
      </c>
      <c r="U83" s="231" t="str">
        <f>IF(C_1[[#This Row],[OWNER NAME 1]] = "", "",
   IF(_xlfn.XLOOKUP(C_1[[#This Row],[OWNER NAME 1]],OWNER_LIST[Owner Name], OWNER_LIST[Email], "") = "", "",
      _xlfn.XLOOKUP(C_1[[#This Row],[OWNER NAME 1]], OWNER_LIST[Owner Name], OWNER_LIST[Email], "")))</f>
        <v>simone.conti@cmbcarpi.it</v>
      </c>
      <c r="V83" s="231" t="str">
        <f>IF(C_1[[#This Row],[OWNER NAME 2]] = "", "",
   IF(_xlfn.XLOOKUP(C_1[[#This Row],[OWNER NAME 2]],OWNER_LIST[Owner Name], OWNER_LIST[Email], "") = "", "",
      _xlfn.XLOOKUP(C_1[[#This Row],[OWNER NAME 2]], OWNER_LIST[Owner Name], OWNER_LIST[Email], "")))</f>
        <v/>
      </c>
      <c r="W83" s="230" t="str">
        <f t="shared" si="3"/>
        <v>C1</v>
      </c>
      <c r="X83" s="232" t="str">
        <f>IF(
    OR(
        AND(
            NOT(ISBLANK(C_1[[#This Row],[DESCRIPTION -  INFORMATION LOG]])),
            C_1[[#This Row],[DESCRIPTION -  INFORMATION LOG]] &lt;&gt; "DESCRIPTION -  INFORMATION LOG"
        ),
        NOT(ISBLANK(C_1[[#This Row],[ACTION REQUIRED]]))
    ),
    "Y",
    "N"
)</f>
        <v>Y</v>
      </c>
      <c r="Y83" s="208"/>
      <c r="Z83" s="208"/>
    </row>
    <row r="84" spans="1:26" s="166" customFormat="1" ht="45.75">
      <c r="A84" s="129" t="s">
        <v>218</v>
      </c>
      <c r="B84" s="211" t="s">
        <v>222</v>
      </c>
      <c r="C84" s="152" t="s">
        <v>95</v>
      </c>
      <c r="D84" s="144" t="s">
        <v>82</v>
      </c>
      <c r="E84" s="129" t="s">
        <v>223</v>
      </c>
      <c r="F84" s="129" t="s">
        <v>224</v>
      </c>
      <c r="G84" s="284" t="s">
        <v>85</v>
      </c>
      <c r="H84" s="142">
        <v>45973</v>
      </c>
      <c r="I84" s="132" t="str" cm="1">
        <f t="array" ref="I84">IFERROR(_xlfn.TEXTJOIN(" / ", TRUE, IF(OWNER_LIST[Owner Name]=C_1[[#This Row],[OWNER NAME 1]], OWNER_LIST[Owner ORG], ""), IF(OWNER_LIST[Owner Name]=C_1[[#This Row],[OWNER NAME 2]], OWNER_LIST[Owner ORG], "")), "")</f>
        <v>RPN</v>
      </c>
      <c r="J84" s="83" t="s">
        <v>25</v>
      </c>
      <c r="K84" s="143"/>
      <c r="L84" s="143"/>
      <c r="M84" s="133"/>
      <c r="N84" s="207"/>
      <c r="O84" s="208"/>
      <c r="P84" s="208"/>
      <c r="Q84" s="229"/>
      <c r="R84" s="229" t="str">
        <f xml:space="preserve"> _xlfn.CONCAT(C_1[[#This Row],[ESCALATE]], "-",C_1[[#This Row],[Row_PM]])</f>
        <v>-</v>
      </c>
      <c r="S84" s="229" t="str">
        <f xml:space="preserve"> _xlfn.CONCAT(C_1[[#This Row],[ESCALATE]], "-",C_1[[#This Row],[Notify_PM]])</f>
        <v>--</v>
      </c>
      <c r="T84" s="229">
        <f>ROW()</f>
        <v>84</v>
      </c>
      <c r="U84" s="229" t="str">
        <f>IF(C_1[[#This Row],[OWNER NAME 1]] = "", "",
   IF(_xlfn.XLOOKUP(C_1[[#This Row],[OWNER NAME 1]],OWNER_LIST[Owner Name], OWNER_LIST[Email], "") = "", "",
      _xlfn.XLOOKUP(C_1[[#This Row],[OWNER NAME 1]], OWNER_LIST[Owner Name], OWNER_LIST[Email], "")))</f>
        <v>matteo.naldi@cmbcarpi.it</v>
      </c>
      <c r="V84" s="229" t="str">
        <f>IF(C_1[[#This Row],[OWNER NAME 2]] = "", "",
   IF(_xlfn.XLOOKUP(C_1[[#This Row],[OWNER NAME 2]],OWNER_LIST[Owner Name], OWNER_LIST[Email], "") = "", "",
      _xlfn.XLOOKUP(C_1[[#This Row],[OWNER NAME 2]], OWNER_LIST[Owner Name], OWNER_LIST[Email], "")))</f>
        <v/>
      </c>
      <c r="W84" s="229" t="str">
        <f t="shared" si="3"/>
        <v>C1</v>
      </c>
      <c r="X84" s="229" t="str">
        <f>IF(
    OR(
        AND(
            NOT(ISBLANK(C_1[[#This Row],[DESCRIPTION -  INFORMATION LOG]])),
            C_1[[#This Row],[DESCRIPTION -  INFORMATION LOG]] &lt;&gt; "DESCRIPTION -  INFORMATION LOG"
        ),
        NOT(ISBLANK(C_1[[#This Row],[ACTION REQUIRED]]))
    ),
    "Y",
    "N"
)</f>
        <v>Y</v>
      </c>
      <c r="Y84" s="208"/>
      <c r="Z84" s="208"/>
    </row>
    <row r="85" spans="1:26" s="166" customFormat="1" ht="60.75">
      <c r="A85" s="129" t="s">
        <v>218</v>
      </c>
      <c r="B85" s="314" t="s">
        <v>225</v>
      </c>
      <c r="C85" s="152" t="s">
        <v>95</v>
      </c>
      <c r="D85" s="144" t="s">
        <v>82</v>
      </c>
      <c r="E85" s="311" t="s">
        <v>226</v>
      </c>
      <c r="F85" s="259" t="s">
        <v>227</v>
      </c>
      <c r="G85" s="284" t="s">
        <v>77</v>
      </c>
      <c r="H85" s="142">
        <v>46057</v>
      </c>
      <c r="I85" s="132" t="str" cm="1">
        <f t="array" ref="I85">IFERROR(_xlfn.TEXTJOIN(" / ", TRUE, IF(OWNER_LIST[Owner Name]=C_1[[#This Row],[OWNER NAME 1]], OWNER_LIST[Owner ORG], ""), IF(OWNER_LIST[Owner Name]=C_1[[#This Row],[OWNER NAME 2]], OWNER_LIST[Owner ORG], "")), "")</f>
        <v>RPN / RPN</v>
      </c>
      <c r="J85" s="143" t="s">
        <v>25</v>
      </c>
      <c r="K85" s="143" t="s">
        <v>27</v>
      </c>
      <c r="L85" s="143"/>
      <c r="M85" s="133"/>
      <c r="N85" s="207"/>
      <c r="O85" s="208"/>
      <c r="P85" s="208"/>
      <c r="Q85" s="229"/>
      <c r="R85" s="229" t="str">
        <f xml:space="preserve"> _xlfn.CONCAT(C_1[[#This Row],[ESCALATE]], "-",C_1[[#This Row],[Row_PM]])</f>
        <v>-</v>
      </c>
      <c r="S85" s="229" t="str">
        <f xml:space="preserve"> _xlfn.CONCAT(C_1[[#This Row],[ESCALATE]], "-",C_1[[#This Row],[Notify_PM]])</f>
        <v>--</v>
      </c>
      <c r="T85" s="229">
        <f>ROW()</f>
        <v>85</v>
      </c>
      <c r="U85" s="229" t="str">
        <f>IF(C_1[[#This Row],[OWNER NAME 1]] = "", "",
   IF(_xlfn.XLOOKUP(C_1[[#This Row],[OWNER NAME 1]],OWNER_LIST[Owner Name], OWNER_LIST[Email], "") = "", "",
      _xlfn.XLOOKUP(C_1[[#This Row],[OWNER NAME 1]], OWNER_LIST[Owner Name], OWNER_LIST[Email], "")))</f>
        <v>matteo.naldi@cmbcarpi.it</v>
      </c>
      <c r="V85" s="229" t="str">
        <f>IF(C_1[[#This Row],[OWNER NAME 2]] = "", "",
   IF(_xlfn.XLOOKUP(C_1[[#This Row],[OWNER NAME 2]],OWNER_LIST[Owner Name], OWNER_LIST[Email], "") = "", "",
      _xlfn.XLOOKUP(C_1[[#This Row],[OWNER NAME 2]], OWNER_LIST[Owner Name], OWNER_LIST[Email], "")))</f>
        <v>jessica.donatelli@cmbcarpi.it</v>
      </c>
      <c r="W85" s="229" t="str">
        <f t="shared" si="3"/>
        <v>C1</v>
      </c>
      <c r="X85" s="229" t="str">
        <f>IF(
    OR(
        AND(
            NOT(ISBLANK(C_1[[#This Row],[DESCRIPTION -  INFORMATION LOG]])),
            C_1[[#This Row],[DESCRIPTION -  INFORMATION LOG]] &lt;&gt; "DESCRIPTION -  INFORMATION LOG"
        ),
        NOT(ISBLANK(C_1[[#This Row],[ACTION REQUIRED]]))
    ),
    "Y",
    "N"
)</f>
        <v>Y</v>
      </c>
      <c r="Y85" s="208"/>
      <c r="Z85" s="208"/>
    </row>
    <row r="86" spans="1:26" ht="30.75">
      <c r="A86" s="129" t="s">
        <v>218</v>
      </c>
      <c r="B86" s="314" t="s">
        <v>228</v>
      </c>
      <c r="C86" s="152" t="s">
        <v>95</v>
      </c>
      <c r="D86" s="144" t="s">
        <v>82</v>
      </c>
      <c r="E86" s="260" t="s">
        <v>229</v>
      </c>
      <c r="F86" s="259" t="s">
        <v>230</v>
      </c>
      <c r="G86" s="289" t="s">
        <v>77</v>
      </c>
      <c r="H86" s="272">
        <v>46073</v>
      </c>
      <c r="I86" s="132" t="str" cm="1">
        <f t="array" ref="I86">IFERROR(_xlfn.TEXTJOIN(" / ", TRUE, IF(OWNER_LIST[Owner Name]=C_1[[#This Row],[OWNER NAME 1]], OWNER_LIST[Owner ORG], ""), IF(OWNER_LIST[Owner Name]=C_1[[#This Row],[OWNER NAME 2]], OWNER_LIST[Owner ORG], "")), "")</f>
        <v>RPN</v>
      </c>
      <c r="J86" s="143" t="s">
        <v>25</v>
      </c>
      <c r="K86" s="266"/>
      <c r="L86" s="266"/>
      <c r="M86" s="263"/>
      <c r="N86" s="312"/>
      <c r="O86" s="313"/>
      <c r="P86" s="313"/>
      <c r="Q86" s="229"/>
      <c r="R86" s="229" t="str">
        <f xml:space="preserve"> _xlfn.CONCAT(C_1[[#This Row],[ESCALATE]], "-",C_1[[#This Row],[Row_PM]])</f>
        <v>-</v>
      </c>
      <c r="S86" s="229" t="str">
        <f xml:space="preserve"> _xlfn.CONCAT(C_1[[#This Row],[ESCALATE]], "-",C_1[[#This Row],[Notify_PM]])</f>
        <v>--</v>
      </c>
      <c r="T86" s="229">
        <f>ROW()</f>
        <v>86</v>
      </c>
      <c r="U86" s="229" t="str">
        <f>IF(C_1[[#This Row],[OWNER NAME 1]] = "", "",
   IF(_xlfn.XLOOKUP(C_1[[#This Row],[OWNER NAME 1]],OWNER_LIST[Owner Name], OWNER_LIST[Email], "") = "", "",
      _xlfn.XLOOKUP(C_1[[#This Row],[OWNER NAME 1]], OWNER_LIST[Owner Name], OWNER_LIST[Email], "")))</f>
        <v>matteo.naldi@cmbcarpi.it</v>
      </c>
      <c r="V86" s="229" t="str">
        <f>IF(C_1[[#This Row],[OWNER NAME 2]] = "", "",
   IF(_xlfn.XLOOKUP(C_1[[#This Row],[OWNER NAME 2]],OWNER_LIST[Owner Name], OWNER_LIST[Email], "") = "", "",
      _xlfn.XLOOKUP(C_1[[#This Row],[OWNER NAME 2]], OWNER_LIST[Owner Name], OWNER_LIST[Email], "")))</f>
        <v/>
      </c>
      <c r="W86" s="229" t="str">
        <f>$A$37</f>
        <v>C1</v>
      </c>
      <c r="X86" s="229" t="str">
        <f>IF(
    OR(
        AND(
            NOT(ISBLANK(C_1[[#This Row],[DESCRIPTION -  INFORMATION LOG]])),
            C_1[[#This Row],[DESCRIPTION -  INFORMATION LOG]] &lt;&gt; "DESCRIPTION -  INFORMATION LOG"
        ),
        NOT(ISBLANK(C_1[[#This Row],[ACTION REQUIRED]]))
    ),
    "Y",
    "N"
)</f>
        <v>Y</v>
      </c>
      <c r="Y86" s="208"/>
      <c r="Z86" s="208"/>
    </row>
    <row r="87" spans="1:26" s="166" customFormat="1" ht="45.75">
      <c r="A87" s="129" t="s">
        <v>218</v>
      </c>
      <c r="B87" s="311" t="s">
        <v>231</v>
      </c>
      <c r="C87" s="152" t="s">
        <v>95</v>
      </c>
      <c r="D87" s="144" t="s">
        <v>82</v>
      </c>
      <c r="E87" s="260" t="s">
        <v>232</v>
      </c>
      <c r="F87" s="259" t="s">
        <v>233</v>
      </c>
      <c r="G87" s="284" t="s">
        <v>85</v>
      </c>
      <c r="H87" s="142">
        <v>46080</v>
      </c>
      <c r="I87" s="132" t="str" cm="1">
        <f t="array" ref="I87">IFERROR(_xlfn.TEXTJOIN(" / ", TRUE, IF(OWNER_LIST[Owner Name]=C_1[[#This Row],[OWNER NAME 1]], OWNER_LIST[Owner ORG], ""), IF(OWNER_LIST[Owner Name]=C_1[[#This Row],[OWNER NAME 2]], OWNER_LIST[Owner ORG], "")), "")</f>
        <v>SHP / SHP</v>
      </c>
      <c r="J87" s="266" t="s">
        <v>163</v>
      </c>
      <c r="K87" s="266" t="s">
        <v>214</v>
      </c>
      <c r="L87" s="266"/>
      <c r="M87" s="263"/>
      <c r="N87" s="312"/>
      <c r="O87" s="313"/>
      <c r="P87" s="268"/>
      <c r="Q87" s="229"/>
      <c r="R87" s="229" t="str">
        <f xml:space="preserve"> _xlfn.CONCAT(C_1[[#This Row],[ESCALATE]], "-",C_1[[#This Row],[Row_PM]])</f>
        <v>-</v>
      </c>
      <c r="S87" s="229" t="str">
        <f xml:space="preserve"> _xlfn.CONCAT(C_1[[#This Row],[ESCALATE]], "-",C_1[[#This Row],[Notify_PM]])</f>
        <v>--</v>
      </c>
      <c r="T87" s="230">
        <f>ROW()</f>
        <v>87</v>
      </c>
      <c r="U87" s="231" t="str">
        <f>IF(C_1[[#This Row],[OWNER NAME 1]] = "", "",
   IF(_xlfn.XLOOKUP(C_1[[#This Row],[OWNER NAME 1]],OWNER_LIST[Owner Name], OWNER_LIST[Email], "") = "", "",
      _xlfn.XLOOKUP(C_1[[#This Row],[OWNER NAME 1]], OWNER_LIST[Owner Name], OWNER_LIST[Email], "")))</f>
        <v>maximilien.montanaro@un.org</v>
      </c>
      <c r="V87" s="231" t="str">
        <f>IF(C_1[[#This Row],[OWNER NAME 2]] = "", "",
   IF(_xlfn.XLOOKUP(C_1[[#This Row],[OWNER NAME 2]],OWNER_LIST[Owner Name], OWNER_LIST[Email], "") = "", "",
      _xlfn.XLOOKUP(C_1[[#This Row],[OWNER NAME 2]], OWNER_LIST[Owner Name], OWNER_LIST[Email], "")))</f>
        <v>patrick.vogelsang@un.org</v>
      </c>
      <c r="W87" s="230" t="str">
        <f>$A$37</f>
        <v>C1</v>
      </c>
      <c r="X87" s="232" t="str">
        <f>IF(
    OR(
        AND(
            NOT(ISBLANK(C_1[[#This Row],[DESCRIPTION -  INFORMATION LOG]])),
            C_1[[#This Row],[DESCRIPTION -  INFORMATION LOG]] &lt;&gt; "DESCRIPTION -  INFORMATION LOG"
        ),
        NOT(ISBLANK(C_1[[#This Row],[ACTION REQUIRED]]))
    ),
    "Y",
    "N"
)</f>
        <v>Y</v>
      </c>
      <c r="Y87" s="208"/>
      <c r="Z87" s="208"/>
    </row>
    <row r="88" spans="1:26" ht="167.25">
      <c r="A88" s="129" t="s">
        <v>218</v>
      </c>
      <c r="B88" s="211" t="s">
        <v>234</v>
      </c>
      <c r="C88" s="152" t="s">
        <v>95</v>
      </c>
      <c r="D88" s="144" t="s">
        <v>82</v>
      </c>
      <c r="E88" s="260" t="s">
        <v>235</v>
      </c>
      <c r="F88" s="204" t="s">
        <v>236</v>
      </c>
      <c r="G88" s="284" t="s">
        <v>85</v>
      </c>
      <c r="H88" s="93">
        <v>46055</v>
      </c>
      <c r="I88" s="132" t="str" cm="1">
        <f t="array" ref="I88">IFERROR(_xlfn.TEXTJOIN(" / ", TRUE, IF(OWNER_LIST[Owner Name]=C_1[[#This Row],[OWNER NAME 1]], OWNER_LIST[Owner ORG], ""), IF(OWNER_LIST[Owner Name]=C_1[[#This Row],[OWNER NAME 2]], OWNER_LIST[Owner ORG], "")), "")</f>
        <v>RPN / RPN</v>
      </c>
      <c r="J88" s="83" t="s">
        <v>27</v>
      </c>
      <c r="K88" s="83" t="s">
        <v>28</v>
      </c>
      <c r="L88" s="83"/>
      <c r="M88" s="133"/>
      <c r="N88" s="207"/>
      <c r="O88" s="208"/>
      <c r="P88" s="208"/>
      <c r="Q88" s="229"/>
      <c r="R88" s="229" t="str">
        <f xml:space="preserve"> _xlfn.CONCAT(C_1[[#This Row],[ESCALATE]], "-",C_1[[#This Row],[Row_PM]])</f>
        <v>-</v>
      </c>
      <c r="S88" s="229" t="str">
        <f xml:space="preserve"> _xlfn.CONCAT(C_1[[#This Row],[ESCALATE]], "-",C_1[[#This Row],[Notify_PM]])</f>
        <v>--</v>
      </c>
      <c r="T88" s="229">
        <f>ROW()</f>
        <v>88</v>
      </c>
      <c r="U88" s="229" t="str">
        <f>IF(C_1[[#This Row],[OWNER NAME 1]] = "", "",
   IF(_xlfn.XLOOKUP(C_1[[#This Row],[OWNER NAME 1]],OWNER_LIST[Owner Name], OWNER_LIST[Email], "") = "", "",
      _xlfn.XLOOKUP(C_1[[#This Row],[OWNER NAME 1]], OWNER_LIST[Owner Name], OWNER_LIST[Email], "")))</f>
        <v>jessica.donatelli@cmbcarpi.it</v>
      </c>
      <c r="V88" s="229" t="str">
        <f>IF(C_1[[#This Row],[OWNER NAME 2]] = "", "",
   IF(_xlfn.XLOOKUP(C_1[[#This Row],[OWNER NAME 2]],OWNER_LIST[Owner Name], OWNER_LIST[Email], "") = "", "",
      _xlfn.XLOOKUP(C_1[[#This Row],[OWNER NAME 2]], OWNER_LIST[Owner Name], OWNER_LIST[Email], "")))</f>
        <v>federica.brunone@cmbcarpi.it</v>
      </c>
      <c r="W88" s="229" t="str">
        <f t="shared" ref="W88:W117" si="4">$A$37</f>
        <v>C1</v>
      </c>
      <c r="X88" s="229" t="str">
        <f>IF(
    OR(
        AND(
            NOT(ISBLANK(C_1[[#This Row],[DESCRIPTION -  INFORMATION LOG]])),
            C_1[[#This Row],[DESCRIPTION -  INFORMATION LOG]] &lt;&gt; "DESCRIPTION -  INFORMATION LOG"
        ),
        NOT(ISBLANK(C_1[[#This Row],[ACTION REQUIRED]]))
    ),
    "Y",
    "N"
)</f>
        <v>Y</v>
      </c>
      <c r="Y88" s="208"/>
      <c r="Z88" s="208"/>
    </row>
    <row r="89" spans="1:26" ht="30.75">
      <c r="A89" s="129" t="s">
        <v>218</v>
      </c>
      <c r="B89" s="314" t="s">
        <v>237</v>
      </c>
      <c r="C89" s="152" t="s">
        <v>95</v>
      </c>
      <c r="D89" s="144" t="s">
        <v>82</v>
      </c>
      <c r="E89" s="259" t="s">
        <v>238</v>
      </c>
      <c r="F89" s="259" t="s">
        <v>239</v>
      </c>
      <c r="G89" s="287" t="s">
        <v>93</v>
      </c>
      <c r="H89" s="270">
        <v>46073</v>
      </c>
      <c r="I89" s="132" t="str" cm="1">
        <f t="array" ref="I89">IFERROR(_xlfn.TEXTJOIN(" / ", TRUE, IF(OWNER_LIST[Owner Name]=C_1[[#This Row],[OWNER NAME 1]], OWNER_LIST[Owner ORG], ""), IF(OWNER_LIST[Owner Name]=C_1[[#This Row],[OWNER NAME 2]], OWNER_LIST[Owner ORG], "")), "")</f>
        <v>SHP</v>
      </c>
      <c r="J89" s="262" t="s">
        <v>40</v>
      </c>
      <c r="K89" s="262"/>
      <c r="L89" s="262"/>
      <c r="M89" s="263"/>
      <c r="N89" s="312"/>
      <c r="O89" s="313"/>
      <c r="P89" s="313"/>
      <c r="Q89" s="229"/>
      <c r="R89" s="229" t="str">
        <f xml:space="preserve"> _xlfn.CONCAT(C_1[[#This Row],[ESCALATE]], "-",C_1[[#This Row],[Row_PM]])</f>
        <v>-</v>
      </c>
      <c r="S89" s="229" t="str">
        <f xml:space="preserve"> _xlfn.CONCAT(C_1[[#This Row],[ESCALATE]], "-",C_1[[#This Row],[Notify_PM]])</f>
        <v>--</v>
      </c>
      <c r="T89" s="229">
        <f>ROW()</f>
        <v>89</v>
      </c>
      <c r="U89" s="229" t="str">
        <f>IF(C_1[[#This Row],[OWNER NAME 1]] = "", "",
   IF(_xlfn.XLOOKUP(C_1[[#This Row],[OWNER NAME 1]],OWNER_LIST[Owner Name], OWNER_LIST[Email], "") = "", "",
      _xlfn.XLOOKUP(C_1[[#This Row],[OWNER NAME 1]], OWNER_LIST[Owner Name], OWNER_LIST[Email], "")))</f>
        <v>jean.ferre@un.org</v>
      </c>
      <c r="V89" s="229" t="str">
        <f>IF(C_1[[#This Row],[OWNER NAME 2]] = "", "",
   IF(_xlfn.XLOOKUP(C_1[[#This Row],[OWNER NAME 2]],OWNER_LIST[Owner Name], OWNER_LIST[Email], "") = "", "",
      _xlfn.XLOOKUP(C_1[[#This Row],[OWNER NAME 2]], OWNER_LIST[Owner Name], OWNER_LIST[Email], "")))</f>
        <v/>
      </c>
      <c r="W89" s="229" t="str">
        <f>$A$37</f>
        <v>C1</v>
      </c>
      <c r="X89" s="229" t="str">
        <f>IF(
    OR(
        AND(
            NOT(ISBLANK(C_1[[#This Row],[DESCRIPTION -  INFORMATION LOG]])),
            C_1[[#This Row],[DESCRIPTION -  INFORMATION LOG]] &lt;&gt; "DESCRIPTION -  INFORMATION LOG"
        ),
        NOT(ISBLANK(C_1[[#This Row],[ACTION REQUIRED]]))
    ),
    "Y",
    "N"
)</f>
        <v>Y</v>
      </c>
      <c r="Y89" s="208"/>
      <c r="Z89" s="208"/>
    </row>
    <row r="90" spans="1:26" ht="106.5">
      <c r="A90" s="129" t="s">
        <v>218</v>
      </c>
      <c r="B90" s="209" t="s">
        <v>240</v>
      </c>
      <c r="C90" s="152" t="s">
        <v>95</v>
      </c>
      <c r="D90" s="129" t="s">
        <v>82</v>
      </c>
      <c r="E90" s="290" t="s">
        <v>241</v>
      </c>
      <c r="F90" s="260" t="s">
        <v>242</v>
      </c>
      <c r="G90" s="196" t="s">
        <v>85</v>
      </c>
      <c r="H90" s="142">
        <v>45965</v>
      </c>
      <c r="I90" s="132" t="str" cm="1">
        <f t="array" ref="I90">IFERROR(_xlfn.TEXTJOIN(" / ", TRUE, IF(OWNER_LIST[Owner Name]=C_1[[#This Row],[OWNER NAME 1]], OWNER_LIST[Owner ORG], ""), IF(OWNER_LIST[Owner Name]=C_1[[#This Row],[OWNER NAME 2]], OWNER_LIST[Owner ORG], "")), "")</f>
        <v>RPN / RPN</v>
      </c>
      <c r="J90" s="143" t="s">
        <v>25</v>
      </c>
      <c r="K90" s="143" t="s">
        <v>29</v>
      </c>
      <c r="L90" s="143"/>
      <c r="M90" s="133"/>
      <c r="N90" s="207"/>
      <c r="O90" s="208"/>
      <c r="P90" s="127"/>
      <c r="Q90" s="229"/>
      <c r="R90" s="229" t="str">
        <f xml:space="preserve"> _xlfn.CONCAT(C_1[[#This Row],[ESCALATE]], "-",C_1[[#This Row],[Row_PM]])</f>
        <v>-</v>
      </c>
      <c r="S90" s="229" t="str">
        <f xml:space="preserve"> _xlfn.CONCAT(C_1[[#This Row],[ESCALATE]], "-",C_1[[#This Row],[Notify_PM]])</f>
        <v>--</v>
      </c>
      <c r="T90" s="230">
        <f>ROW()</f>
        <v>90</v>
      </c>
      <c r="U90" s="231" t="str">
        <f>IF(C_1[[#This Row],[OWNER NAME 1]] = "", "",
   IF(_xlfn.XLOOKUP(C_1[[#This Row],[OWNER NAME 1]],OWNER_LIST[Owner Name], OWNER_LIST[Email], "") = "", "",
      _xlfn.XLOOKUP(C_1[[#This Row],[OWNER NAME 1]], OWNER_LIST[Owner Name], OWNER_LIST[Email], "")))</f>
        <v>matteo.naldi@cmbcarpi.it</v>
      </c>
      <c r="V90" s="231" t="str">
        <f>IF(C_1[[#This Row],[OWNER NAME 2]] = "", "",
   IF(_xlfn.XLOOKUP(C_1[[#This Row],[OWNER NAME 2]],OWNER_LIST[Owner Name], OWNER_LIST[Email], "") = "", "",
      _xlfn.XLOOKUP(C_1[[#This Row],[OWNER NAME 2]], OWNER_LIST[Owner Name], OWNER_LIST[Email], "")))</f>
        <v>chiara.redepaolini@rpn-sa.ch</v>
      </c>
      <c r="W90" s="230" t="str">
        <f t="shared" ref="W90" si="5">$A$37</f>
        <v>C1</v>
      </c>
      <c r="X90" s="232" t="str">
        <f>IF(
    OR(
        AND(
            NOT(ISBLANK(C_1[[#This Row],[DESCRIPTION -  INFORMATION LOG]])),
            C_1[[#This Row],[DESCRIPTION -  INFORMATION LOG]] &lt;&gt; "DESCRIPTION -  INFORMATION LOG"
        ),
        NOT(ISBLANK(C_1[[#This Row],[ACTION REQUIRED]]))
    ),
    "Y",
    "N"
)</f>
        <v>Y</v>
      </c>
      <c r="Y90" s="208"/>
      <c r="Z90" s="208"/>
    </row>
    <row r="91" spans="1:26" ht="60.75">
      <c r="A91" s="129" t="s">
        <v>218</v>
      </c>
      <c r="B91" s="212" t="s">
        <v>243</v>
      </c>
      <c r="C91" s="152" t="s">
        <v>95</v>
      </c>
      <c r="D91" s="144" t="s">
        <v>82</v>
      </c>
      <c r="E91" s="311" t="s">
        <v>244</v>
      </c>
      <c r="F91" s="290" t="s">
        <v>245</v>
      </c>
      <c r="G91" s="288" t="s">
        <v>93</v>
      </c>
      <c r="H91" s="93">
        <v>45976</v>
      </c>
      <c r="I91" s="132" t="str" cm="1">
        <f t="array" ref="I91">IFERROR(_xlfn.TEXTJOIN(" / ", TRUE, IF(OWNER_LIST[Owner Name]=C_1[[#This Row],[OWNER NAME 1]], OWNER_LIST[Owner ORG], ""), IF(OWNER_LIST[Owner Name]=C_1[[#This Row],[OWNER NAME 2]], OWNER_LIST[Owner ORG], "")), "")</f>
        <v>RPN</v>
      </c>
      <c r="J91" s="83" t="s">
        <v>25</v>
      </c>
      <c r="K91" s="83"/>
      <c r="L91" s="83"/>
      <c r="M91" s="133"/>
      <c r="N91" s="207"/>
      <c r="O91" s="208"/>
      <c r="P91" s="208"/>
      <c r="Q91" s="229"/>
      <c r="R91" s="229" t="str">
        <f xml:space="preserve"> _xlfn.CONCAT(C_1[[#This Row],[ESCALATE]], "-",C_1[[#This Row],[Row_PM]])</f>
        <v>-</v>
      </c>
      <c r="S91" s="229" t="str">
        <f xml:space="preserve"> _xlfn.CONCAT(C_1[[#This Row],[ESCALATE]], "-",C_1[[#This Row],[Notify_PM]])</f>
        <v>--</v>
      </c>
      <c r="T91" s="229">
        <f>ROW()</f>
        <v>91</v>
      </c>
      <c r="U91" s="229" t="str">
        <f>IF(C_1[[#This Row],[OWNER NAME 1]] = "", "",
   IF(_xlfn.XLOOKUP(C_1[[#This Row],[OWNER NAME 1]],OWNER_LIST[Owner Name], OWNER_LIST[Email], "") = "", "",
      _xlfn.XLOOKUP(C_1[[#This Row],[OWNER NAME 1]], OWNER_LIST[Owner Name], OWNER_LIST[Email], "")))</f>
        <v>matteo.naldi@cmbcarpi.it</v>
      </c>
      <c r="V91" s="229" t="str">
        <f>IF(C_1[[#This Row],[OWNER NAME 2]] = "", "",
   IF(_xlfn.XLOOKUP(C_1[[#This Row],[OWNER NAME 2]],OWNER_LIST[Owner Name], OWNER_LIST[Email], "") = "", "",
      _xlfn.XLOOKUP(C_1[[#This Row],[OWNER NAME 2]], OWNER_LIST[Owner Name], OWNER_LIST[Email], "")))</f>
        <v/>
      </c>
      <c r="W91" s="229" t="str">
        <f t="shared" si="4"/>
        <v>C1</v>
      </c>
      <c r="X91" s="229" t="str">
        <f>IF(
    OR(
        AND(
            NOT(ISBLANK(C_1[[#This Row],[DESCRIPTION -  INFORMATION LOG]])),
            C_1[[#This Row],[DESCRIPTION -  INFORMATION LOG]] &lt;&gt; "DESCRIPTION -  INFORMATION LOG"
        ),
        NOT(ISBLANK(C_1[[#This Row],[ACTION REQUIRED]]))
    ),
    "Y",
    "N"
)</f>
        <v>Y</v>
      </c>
      <c r="Y91" s="208"/>
      <c r="Z91" s="208"/>
    </row>
    <row r="92" spans="1:26" ht="45.75">
      <c r="A92" s="129" t="s">
        <v>218</v>
      </c>
      <c r="B92" s="211" t="s">
        <v>246</v>
      </c>
      <c r="C92" s="152" t="s">
        <v>81</v>
      </c>
      <c r="D92" s="144" t="s">
        <v>82</v>
      </c>
      <c r="E92" s="290" t="s">
        <v>247</v>
      </c>
      <c r="F92" s="209"/>
      <c r="G92" s="288" t="s">
        <v>93</v>
      </c>
      <c r="H92" s="93"/>
      <c r="I92" s="132"/>
      <c r="J92" s="83"/>
      <c r="K92" s="83"/>
      <c r="L92" s="83"/>
      <c r="M92" s="133"/>
      <c r="N92" s="207"/>
      <c r="O92" s="208"/>
      <c r="P92" s="208"/>
      <c r="Q92" s="229"/>
      <c r="R92" s="229" t="str">
        <f xml:space="preserve"> _xlfn.CONCAT(C_1[[#This Row],[ESCALATE]], "-",C_1[[#This Row],[Row_PM]])</f>
        <v>-</v>
      </c>
      <c r="S92" s="229" t="str">
        <f xml:space="preserve"> _xlfn.CONCAT(C_1[[#This Row],[ESCALATE]], "-",C_1[[#This Row],[Notify_PM]])</f>
        <v>--</v>
      </c>
      <c r="T92" s="229">
        <f>ROW()</f>
        <v>92</v>
      </c>
      <c r="U92" s="229" t="str">
        <f>IF(C_1[[#This Row],[OWNER NAME 1]] = "", "",
   IF(_xlfn.XLOOKUP(C_1[[#This Row],[OWNER NAME 1]],OWNER_LIST[Owner Name], OWNER_LIST[Email], "") = "", "",
      _xlfn.XLOOKUP(C_1[[#This Row],[OWNER NAME 1]], OWNER_LIST[Owner Name], OWNER_LIST[Email], "")))</f>
        <v/>
      </c>
      <c r="V92" s="229" t="str">
        <f>IF(C_1[[#This Row],[OWNER NAME 2]] = "", "",
   IF(_xlfn.XLOOKUP(C_1[[#This Row],[OWNER NAME 2]],OWNER_LIST[Owner Name], OWNER_LIST[Email], "") = "", "",
      _xlfn.XLOOKUP(C_1[[#This Row],[OWNER NAME 2]], OWNER_LIST[Owner Name], OWNER_LIST[Email], "")))</f>
        <v/>
      </c>
      <c r="W92" s="229" t="str">
        <f t="shared" si="4"/>
        <v>C1</v>
      </c>
      <c r="X92" s="229" t="str">
        <f>IF(
    OR(
        AND(
            NOT(ISBLANK(C_1[[#This Row],[DESCRIPTION -  INFORMATION LOG]])),
            C_1[[#This Row],[DESCRIPTION -  INFORMATION LOG]] &lt;&gt; "DESCRIPTION -  INFORMATION LOG"
        ),
        NOT(ISBLANK(C_1[[#This Row],[ACTION REQUIRED]]))
    ),
    "Y",
    "N"
)</f>
        <v>Y</v>
      </c>
      <c r="Y92" s="208"/>
      <c r="Z92" s="208"/>
    </row>
    <row r="93" spans="1:26" ht="30.75">
      <c r="A93" s="129" t="s">
        <v>218</v>
      </c>
      <c r="B93" s="211" t="s">
        <v>248</v>
      </c>
      <c r="C93" s="152" t="s">
        <v>95</v>
      </c>
      <c r="D93" s="144" t="s">
        <v>82</v>
      </c>
      <c r="E93" s="209" t="s">
        <v>249</v>
      </c>
      <c r="F93" s="209" t="s">
        <v>250</v>
      </c>
      <c r="G93" s="288" t="s">
        <v>93</v>
      </c>
      <c r="H93" s="93">
        <v>45933</v>
      </c>
      <c r="I93" s="132" t="str" cm="1">
        <f t="array" ref="I93">IFERROR(_xlfn.TEXTJOIN(" / ", TRUE, IF(OWNER_LIST[Owner Name]=C_1[[#This Row],[OWNER NAME 1]], OWNER_LIST[Owner ORG], ""), IF(OWNER_LIST[Owner Name]=C_1[[#This Row],[OWNER NAME 2]], OWNER_LIST[Owner ORG], "")), "")</f>
        <v>RPN / SOMBP</v>
      </c>
      <c r="J93" s="83" t="s">
        <v>25</v>
      </c>
      <c r="K93" s="83" t="s">
        <v>44</v>
      </c>
      <c r="L93" s="83"/>
      <c r="M93" s="133"/>
      <c r="N93" s="207"/>
      <c r="O93" s="208"/>
      <c r="P93" s="208"/>
      <c r="Q93" s="229"/>
      <c r="R93" s="229" t="str">
        <f xml:space="preserve"> _xlfn.CONCAT(C_1[[#This Row],[ESCALATE]], "-",C_1[[#This Row],[Row_PM]])</f>
        <v>-</v>
      </c>
      <c r="S93" s="229" t="str">
        <f xml:space="preserve"> _xlfn.CONCAT(C_1[[#This Row],[ESCALATE]], "-",C_1[[#This Row],[Notify_PM]])</f>
        <v>--</v>
      </c>
      <c r="T93" s="229">
        <f>ROW()</f>
        <v>93</v>
      </c>
      <c r="U93" s="229" t="str">
        <f>IF(C_1[[#This Row],[OWNER NAME 1]] = "", "",
   IF(_xlfn.XLOOKUP(C_1[[#This Row],[OWNER NAME 1]],OWNER_LIST[Owner Name], OWNER_LIST[Email], "") = "", "",
      _xlfn.XLOOKUP(C_1[[#This Row],[OWNER NAME 1]], OWNER_LIST[Owner Name], OWNER_LIST[Email], "")))</f>
        <v>matteo.naldi@cmbcarpi.it</v>
      </c>
      <c r="V93" s="229" t="str">
        <f>IF(C_1[[#This Row],[OWNER NAME 2]] = "", "",
   IF(_xlfn.XLOOKUP(C_1[[#This Row],[OWNER NAME 2]],OWNER_LIST[Owner Name], OWNER_LIST[Email], "") = "", "",
      _xlfn.XLOOKUP(C_1[[#This Row],[OWNER NAME 2]], OWNER_LIST[Owner Name], OWNER_LIST[Email], "")))</f>
        <v>lucille.treilledegrandsaigne@burckhardt.swiss</v>
      </c>
      <c r="W93" s="229" t="str">
        <f t="shared" si="4"/>
        <v>C1</v>
      </c>
      <c r="X93" s="229" t="str">
        <f>IF(
    OR(
        AND(
            NOT(ISBLANK(C_1[[#This Row],[DESCRIPTION -  INFORMATION LOG]])),
            C_1[[#This Row],[DESCRIPTION -  INFORMATION LOG]] &lt;&gt; "DESCRIPTION -  INFORMATION LOG"
        ),
        NOT(ISBLANK(C_1[[#This Row],[ACTION REQUIRED]]))
    ),
    "Y",
    "N"
)</f>
        <v>Y</v>
      </c>
      <c r="Y93" s="208"/>
      <c r="Z93" s="208"/>
    </row>
    <row r="94" spans="1:26" ht="30.75">
      <c r="A94" s="129" t="s">
        <v>218</v>
      </c>
      <c r="B94" s="211" t="s">
        <v>251</v>
      </c>
      <c r="C94" s="152" t="s">
        <v>95</v>
      </c>
      <c r="D94" s="144" t="s">
        <v>82</v>
      </c>
      <c r="E94" s="311" t="s">
        <v>252</v>
      </c>
      <c r="F94" s="259"/>
      <c r="G94" s="287" t="s">
        <v>85</v>
      </c>
      <c r="H94" s="93"/>
      <c r="I94" s="132"/>
      <c r="J94" s="262"/>
      <c r="K94" s="262"/>
      <c r="L94" s="262"/>
      <c r="M94" s="301"/>
      <c r="N94" s="315"/>
      <c r="O94" s="313"/>
      <c r="P94" s="313"/>
      <c r="Q94" s="229"/>
      <c r="R94" s="229" t="str">
        <f xml:space="preserve"> _xlfn.CONCAT(C_1[[#This Row],[ESCALATE]], "-",C_1[[#This Row],[Row_PM]])</f>
        <v>-</v>
      </c>
      <c r="S94" s="229" t="str">
        <f xml:space="preserve"> _xlfn.CONCAT(C_1[[#This Row],[ESCALATE]], "-",C_1[[#This Row],[Notify_PM]])</f>
        <v>--</v>
      </c>
      <c r="T94" s="229">
        <f>ROW()</f>
        <v>94</v>
      </c>
      <c r="U94" s="229" t="str">
        <f>IF(C_1[[#This Row],[OWNER NAME 1]] = "", "",
   IF(_xlfn.XLOOKUP(C_1[[#This Row],[OWNER NAME 1]],OWNER_LIST[Owner Name], OWNER_LIST[Email], "") = "", "",
      _xlfn.XLOOKUP(C_1[[#This Row],[OWNER NAME 1]], OWNER_LIST[Owner Name], OWNER_LIST[Email], "")))</f>
        <v/>
      </c>
      <c r="V94" s="229" t="str">
        <f>IF(C_1[[#This Row],[OWNER NAME 2]] = "", "",
   IF(_xlfn.XLOOKUP(C_1[[#This Row],[OWNER NAME 2]],OWNER_LIST[Owner Name], OWNER_LIST[Email], "") = "", "",
      _xlfn.XLOOKUP(C_1[[#This Row],[OWNER NAME 2]], OWNER_LIST[Owner Name], OWNER_LIST[Email], "")))</f>
        <v/>
      </c>
      <c r="W94" s="229" t="str">
        <f>$A$37</f>
        <v>C1</v>
      </c>
      <c r="X94" s="229" t="str">
        <f>IF(
    OR(
        AND(
            NOT(ISBLANK(C_1[[#This Row],[DESCRIPTION -  INFORMATION LOG]])),
            C_1[[#This Row],[DESCRIPTION -  INFORMATION LOG]] &lt;&gt; "DESCRIPTION -  INFORMATION LOG"
        ),
        NOT(ISBLANK(C_1[[#This Row],[ACTION REQUIRED]]))
    ),
    "Y",
    "N"
)</f>
        <v>Y</v>
      </c>
      <c r="Y94" s="208"/>
      <c r="Z94" s="208"/>
    </row>
    <row r="95" spans="1:26" ht="30.75">
      <c r="A95" s="129" t="s">
        <v>218</v>
      </c>
      <c r="B95" s="209" t="s">
        <v>253</v>
      </c>
      <c r="C95" s="152" t="s">
        <v>81</v>
      </c>
      <c r="D95" s="144" t="s">
        <v>82</v>
      </c>
      <c r="E95" s="157" t="s">
        <v>254</v>
      </c>
      <c r="F95" s="209" t="s">
        <v>255</v>
      </c>
      <c r="G95" s="285" t="s">
        <v>90</v>
      </c>
      <c r="H95" s="93">
        <v>45807</v>
      </c>
      <c r="I95" s="132" t="str" cm="1">
        <f t="array" ref="I95">IFERROR(_xlfn.TEXTJOIN(" / ", TRUE, IF(OWNER_LIST[Owner Name]=C_1[[#This Row],[OWNER NAME 1]], OWNER_LIST[Owner ORG], ""), IF(OWNER_LIST[Owner Name]=C_1[[#This Row],[OWNER NAME 2]], OWNER_LIST[Owner ORG], "")), "")</f>
        <v>SHP</v>
      </c>
      <c r="J95" s="83" t="s">
        <v>256</v>
      </c>
      <c r="K95" s="83"/>
      <c r="L95" s="83"/>
      <c r="M95" s="133"/>
      <c r="N95" s="207"/>
      <c r="O95" s="208"/>
      <c r="P95" s="208"/>
      <c r="Q95" s="229"/>
      <c r="R95" s="229" t="str">
        <f xml:space="preserve"> _xlfn.CONCAT(C_1[[#This Row],[ESCALATE]], "-",C_1[[#This Row],[Row_PM]])</f>
        <v>-</v>
      </c>
      <c r="S95" s="229" t="str">
        <f xml:space="preserve"> _xlfn.CONCAT(C_1[[#This Row],[ESCALATE]], "-",C_1[[#This Row],[Notify_PM]])</f>
        <v>--</v>
      </c>
      <c r="T95" s="230">
        <f>ROW()</f>
        <v>95</v>
      </c>
      <c r="U95" s="231" t="str">
        <f>IF(C_1[[#This Row],[OWNER NAME 1]] = "", "",
   IF(_xlfn.XLOOKUP(C_1[[#This Row],[OWNER NAME 1]],OWNER_LIST[Owner Name], OWNER_LIST[Email], "") = "", "",
      _xlfn.XLOOKUP(C_1[[#This Row],[OWNER NAME 1]], OWNER_LIST[Owner Name], OWNER_LIST[Email], "")))</f>
        <v>didier.chessel@un.org</v>
      </c>
      <c r="V95" s="231" t="str">
        <f>IF(C_1[[#This Row],[OWNER NAME 2]] = "", "",
   IF(_xlfn.XLOOKUP(C_1[[#This Row],[OWNER NAME 2]],OWNER_LIST[Owner Name], OWNER_LIST[Email], "") = "", "",
      _xlfn.XLOOKUP(C_1[[#This Row],[OWNER NAME 2]], OWNER_LIST[Owner Name], OWNER_LIST[Email], "")))</f>
        <v/>
      </c>
      <c r="W95" s="230" t="str">
        <f t="shared" si="4"/>
        <v>C1</v>
      </c>
      <c r="X95" s="232" t="str">
        <f>IF(
    OR(
        AND(
            NOT(ISBLANK(C_1[[#This Row],[DESCRIPTION -  INFORMATION LOG]])),
            C_1[[#This Row],[DESCRIPTION -  INFORMATION LOG]] &lt;&gt; "DESCRIPTION -  INFORMATION LOG"
        ),
        NOT(ISBLANK(C_1[[#This Row],[ACTION REQUIRED]]))
    ),
    "Y",
    "N"
)</f>
        <v>Y</v>
      </c>
      <c r="Y95" s="208"/>
      <c r="Z95" s="208"/>
    </row>
    <row r="96" spans="1:26" ht="45.75">
      <c r="A96" s="129" t="s">
        <v>218</v>
      </c>
      <c r="B96" s="209" t="s">
        <v>257</v>
      </c>
      <c r="C96" s="152" t="s">
        <v>81</v>
      </c>
      <c r="D96" s="144" t="s">
        <v>82</v>
      </c>
      <c r="E96" s="260" t="s">
        <v>258</v>
      </c>
      <c r="F96" s="129" t="s">
        <v>259</v>
      </c>
      <c r="G96" s="284" t="s">
        <v>85</v>
      </c>
      <c r="H96" s="93">
        <v>45962</v>
      </c>
      <c r="I96" s="132" t="str" cm="1">
        <f t="array" ref="I96">IFERROR(_xlfn.TEXTJOIN(" / ", TRUE, IF(OWNER_LIST[Owner Name]=C_1[[#This Row],[OWNER NAME 1]], OWNER_LIST[Owner ORG], ""), IF(OWNER_LIST[Owner Name]=C_1[[#This Row],[OWNER NAME 2]], OWNER_LIST[Owner ORG], "")), "")</f>
        <v>RPN</v>
      </c>
      <c r="J96" s="83" t="s">
        <v>33</v>
      </c>
      <c r="K96" s="83"/>
      <c r="L96" s="83"/>
      <c r="M96" s="133"/>
      <c r="N96" s="207"/>
      <c r="O96" s="208"/>
      <c r="P96" s="208"/>
      <c r="Q96" s="229"/>
      <c r="R96" s="229" t="str">
        <f xml:space="preserve"> _xlfn.CONCAT(C_1[[#This Row],[ESCALATE]], "-",C_1[[#This Row],[Row_PM]])</f>
        <v>-</v>
      </c>
      <c r="S96" s="229" t="str">
        <f xml:space="preserve"> _xlfn.CONCAT(C_1[[#This Row],[ESCALATE]], "-",C_1[[#This Row],[Notify_PM]])</f>
        <v>--</v>
      </c>
      <c r="T96" s="230">
        <f>ROW()</f>
        <v>96</v>
      </c>
      <c r="U96" s="231" t="str">
        <f>IF(C_1[[#This Row],[OWNER NAME 1]] = "", "",
   IF(_xlfn.XLOOKUP(C_1[[#This Row],[OWNER NAME 1]],OWNER_LIST[Owner Name], OWNER_LIST[Email], "") = "", "",
      _xlfn.XLOOKUP(C_1[[#This Row],[OWNER NAME 1]], OWNER_LIST[Owner Name], OWNER_LIST[Email], "")))</f>
        <v>leonardo.valentinotti@rpn-sa.ch</v>
      </c>
      <c r="V96" s="231" t="str">
        <f>IF(C_1[[#This Row],[OWNER NAME 2]] = "", "",
   IF(_xlfn.XLOOKUP(C_1[[#This Row],[OWNER NAME 2]],OWNER_LIST[Owner Name], OWNER_LIST[Email], "") = "", "",
      _xlfn.XLOOKUP(C_1[[#This Row],[OWNER NAME 2]], OWNER_LIST[Owner Name], OWNER_LIST[Email], "")))</f>
        <v/>
      </c>
      <c r="W96" s="230" t="str">
        <f t="shared" si="4"/>
        <v>C1</v>
      </c>
      <c r="X96" s="232" t="str">
        <f>IF(
    OR(
        AND(
            NOT(ISBLANK(C_1[[#This Row],[DESCRIPTION -  INFORMATION LOG]])),
            C_1[[#This Row],[DESCRIPTION -  INFORMATION LOG]] &lt;&gt; "DESCRIPTION -  INFORMATION LOG"
        ),
        NOT(ISBLANK(C_1[[#This Row],[ACTION REQUIRED]]))
    ),
    "Y",
    "N"
)</f>
        <v>Y</v>
      </c>
      <c r="Y96" s="208"/>
      <c r="Z96" s="208"/>
    </row>
    <row r="97" spans="1:26" ht="45.75">
      <c r="A97" s="129" t="s">
        <v>218</v>
      </c>
      <c r="B97" s="211" t="s">
        <v>260</v>
      </c>
      <c r="C97" s="152" t="s">
        <v>95</v>
      </c>
      <c r="D97" s="144" t="s">
        <v>82</v>
      </c>
      <c r="E97" s="129" t="s">
        <v>261</v>
      </c>
      <c r="F97" s="129" t="s">
        <v>262</v>
      </c>
      <c r="G97" s="284" t="s">
        <v>93</v>
      </c>
      <c r="H97" s="93">
        <v>45962</v>
      </c>
      <c r="I97" s="132" t="str" cm="1">
        <f t="array" ref="I97">IFERROR(_xlfn.TEXTJOIN(" / ", TRUE, IF(OWNER_LIST[Owner Name]=C_1[[#This Row],[OWNER NAME 1]], OWNER_LIST[Owner ORG], ""), IF(OWNER_LIST[Owner Name]=C_1[[#This Row],[OWNER NAME 2]], OWNER_LIST[Owner ORG], "")), "")</f>
        <v>SHP</v>
      </c>
      <c r="J97" s="83" t="s">
        <v>40</v>
      </c>
      <c r="K97" s="83"/>
      <c r="L97" s="83"/>
      <c r="M97" s="133"/>
      <c r="N97" s="207"/>
      <c r="O97" s="208"/>
      <c r="P97" s="208"/>
      <c r="Q97" s="229"/>
      <c r="R97" s="229" t="str">
        <f xml:space="preserve"> _xlfn.CONCAT(C_1[[#This Row],[ESCALATE]], "-",C_1[[#This Row],[Row_PM]])</f>
        <v>-</v>
      </c>
      <c r="S97" s="229" t="str">
        <f xml:space="preserve"> _xlfn.CONCAT(C_1[[#This Row],[ESCALATE]], "-",C_1[[#This Row],[Notify_PM]])</f>
        <v>--</v>
      </c>
      <c r="T97" s="230">
        <f>ROW()</f>
        <v>97</v>
      </c>
      <c r="U97" s="231" t="str">
        <f>IF(C_1[[#This Row],[OWNER NAME 1]] = "", "",
   IF(_xlfn.XLOOKUP(C_1[[#This Row],[OWNER NAME 1]],OWNER_LIST[Owner Name], OWNER_LIST[Email], "") = "", "",
      _xlfn.XLOOKUP(C_1[[#This Row],[OWNER NAME 1]], OWNER_LIST[Owner Name], OWNER_LIST[Email], "")))</f>
        <v>jean.ferre@un.org</v>
      </c>
      <c r="V97" s="231" t="str">
        <f>IF(C_1[[#This Row],[OWNER NAME 2]] = "", "",
   IF(_xlfn.XLOOKUP(C_1[[#This Row],[OWNER NAME 2]],OWNER_LIST[Owner Name], OWNER_LIST[Email], "") = "", "",
      _xlfn.XLOOKUP(C_1[[#This Row],[OWNER NAME 2]], OWNER_LIST[Owner Name], OWNER_LIST[Email], "")))</f>
        <v/>
      </c>
      <c r="W97" s="230" t="str">
        <f t="shared" si="4"/>
        <v>C1</v>
      </c>
      <c r="X97" s="232" t="str">
        <f>IF(
    OR(
        AND(
            NOT(ISBLANK(C_1[[#This Row],[DESCRIPTION -  INFORMATION LOG]])),
            C_1[[#This Row],[DESCRIPTION -  INFORMATION LOG]] &lt;&gt; "DESCRIPTION -  INFORMATION LOG"
        ),
        NOT(ISBLANK(C_1[[#This Row],[ACTION REQUIRED]]))
    ),
    "Y",
    "N"
)</f>
        <v>Y</v>
      </c>
      <c r="Y97" s="208"/>
      <c r="Z97" s="208"/>
    </row>
    <row r="98" spans="1:26" ht="30.75">
      <c r="A98" s="129" t="s">
        <v>218</v>
      </c>
      <c r="B98" s="213" t="s">
        <v>263</v>
      </c>
      <c r="C98" s="152" t="s">
        <v>95</v>
      </c>
      <c r="D98" s="144" t="s">
        <v>82</v>
      </c>
      <c r="E98" s="214" t="s">
        <v>264</v>
      </c>
      <c r="F98" s="214" t="s">
        <v>265</v>
      </c>
      <c r="G98" s="288" t="s">
        <v>93</v>
      </c>
      <c r="H98" s="93">
        <v>45978</v>
      </c>
      <c r="I98" s="132" t="str" cm="1">
        <f t="array" ref="I98">IFERROR(_xlfn.TEXTJOIN(" / ", TRUE, IF(OWNER_LIST[Owner Name]=C_1[[#This Row],[OWNER NAME 1]], OWNER_LIST[Owner ORG], ""), IF(OWNER_LIST[Owner Name]=C_1[[#This Row],[OWNER NAME 2]], OWNER_LIST[Owner ORG], "")), "")</f>
        <v>RPN</v>
      </c>
      <c r="J98" s="83" t="s">
        <v>32</v>
      </c>
      <c r="K98" s="83"/>
      <c r="L98" s="83"/>
      <c r="M98" s="133"/>
      <c r="N98" s="207"/>
      <c r="O98" s="208"/>
      <c r="P98" s="208"/>
      <c r="Q98" s="229"/>
      <c r="R98" s="229" t="str">
        <f xml:space="preserve"> _xlfn.CONCAT(C_1[[#This Row],[ESCALATE]], "-",C_1[[#This Row],[Row_PM]])</f>
        <v>-</v>
      </c>
      <c r="S98" s="229" t="str">
        <f xml:space="preserve"> _xlfn.CONCAT(C_1[[#This Row],[ESCALATE]], "-",C_1[[#This Row],[Notify_PM]])</f>
        <v>--</v>
      </c>
      <c r="T98" s="230">
        <f>ROW()</f>
        <v>98</v>
      </c>
      <c r="U98" s="231" t="str">
        <f>IF(C_1[[#This Row],[OWNER NAME 1]] = "", "",
   IF(_xlfn.XLOOKUP(C_1[[#This Row],[OWNER NAME 1]],OWNER_LIST[Owner Name], OWNER_LIST[Email], "") = "", "",
      _xlfn.XLOOKUP(C_1[[#This Row],[OWNER NAME 1]], OWNER_LIST[Owner Name], OWNER_LIST[Email], "")))</f>
        <v>hacir.degirmencioglu@rpn-sa.ch</v>
      </c>
      <c r="V98" s="231" t="str">
        <f>IF(C_1[[#This Row],[OWNER NAME 2]] = "", "",
   IF(_xlfn.XLOOKUP(C_1[[#This Row],[OWNER NAME 2]],OWNER_LIST[Owner Name], OWNER_LIST[Email], "") = "", "",
      _xlfn.XLOOKUP(C_1[[#This Row],[OWNER NAME 2]], OWNER_LIST[Owner Name], OWNER_LIST[Email], "")))</f>
        <v/>
      </c>
      <c r="W98" s="230" t="str">
        <f t="shared" si="4"/>
        <v>C1</v>
      </c>
      <c r="X98" s="232" t="str">
        <f>IF(
    OR(
        AND(
            NOT(ISBLANK(C_1[[#This Row],[DESCRIPTION -  INFORMATION LOG]])),
            C_1[[#This Row],[DESCRIPTION -  INFORMATION LOG]] &lt;&gt; "DESCRIPTION -  INFORMATION LOG"
        ),
        NOT(ISBLANK(C_1[[#This Row],[ACTION REQUIRED]]))
    ),
    "Y",
    "N"
)</f>
        <v>Y</v>
      </c>
      <c r="Y98" s="208"/>
      <c r="Z98" s="208"/>
    </row>
    <row r="99" spans="1:26" ht="45.75">
      <c r="A99" s="129" t="s">
        <v>218</v>
      </c>
      <c r="B99" s="317" t="s">
        <v>266</v>
      </c>
      <c r="C99" s="152" t="s">
        <v>95</v>
      </c>
      <c r="D99" s="144" t="s">
        <v>82</v>
      </c>
      <c r="E99" s="282" t="s">
        <v>267</v>
      </c>
      <c r="F99" s="282" t="s">
        <v>268</v>
      </c>
      <c r="G99" s="287" t="s">
        <v>85</v>
      </c>
      <c r="H99" s="93">
        <v>46071</v>
      </c>
      <c r="I99" s="132" t="str" cm="1">
        <f t="array" ref="I99">IFERROR(_xlfn.TEXTJOIN(" / ", TRUE, IF(OWNER_LIST[Owner Name]=C_1[[#This Row],[OWNER NAME 1]], OWNER_LIST[Owner ORG], ""), IF(OWNER_LIST[Owner Name]=C_1[[#This Row],[OWNER NAME 2]], OWNER_LIST[Owner ORG], "")), "")</f>
        <v>RPN / RPN</v>
      </c>
      <c r="J99" s="262" t="s">
        <v>32</v>
      </c>
      <c r="K99" s="262" t="s">
        <v>25</v>
      </c>
      <c r="L99" s="262"/>
      <c r="M99" s="263"/>
      <c r="N99" s="312"/>
      <c r="O99" s="313"/>
      <c r="P99" s="313"/>
      <c r="Q99" s="229"/>
      <c r="R99" s="229" t="str">
        <f xml:space="preserve"> _xlfn.CONCAT(C_1[[#This Row],[ESCALATE]], "-",C_1[[#This Row],[Row_PM]])</f>
        <v>-</v>
      </c>
      <c r="S99" s="229" t="str">
        <f xml:space="preserve"> _xlfn.CONCAT(C_1[[#This Row],[ESCALATE]], "-",C_1[[#This Row],[Notify_PM]])</f>
        <v>--</v>
      </c>
      <c r="T99" s="230">
        <f>ROW()</f>
        <v>99</v>
      </c>
      <c r="U99" s="231" t="str">
        <f>IF(C_1[[#This Row],[OWNER NAME 1]] = "", "",
   IF(_xlfn.XLOOKUP(C_1[[#This Row],[OWNER NAME 1]],OWNER_LIST[Owner Name], OWNER_LIST[Email], "") = "", "",
      _xlfn.XLOOKUP(C_1[[#This Row],[OWNER NAME 1]], OWNER_LIST[Owner Name], OWNER_LIST[Email], "")))</f>
        <v>hacir.degirmencioglu@rpn-sa.ch</v>
      </c>
      <c r="V99" s="231" t="str">
        <f>IF(C_1[[#This Row],[OWNER NAME 2]] = "", "",
   IF(_xlfn.XLOOKUP(C_1[[#This Row],[OWNER NAME 2]],OWNER_LIST[Owner Name], OWNER_LIST[Email], "") = "", "",
      _xlfn.XLOOKUP(C_1[[#This Row],[OWNER NAME 2]], OWNER_LIST[Owner Name], OWNER_LIST[Email], "")))</f>
        <v>matteo.naldi@cmbcarpi.it</v>
      </c>
      <c r="W99" s="230" t="str">
        <f>$A$37</f>
        <v>C1</v>
      </c>
      <c r="X99" s="232" t="str">
        <f>IF(
    OR(
        AND(
            NOT(ISBLANK(C_1[[#This Row],[DESCRIPTION -  INFORMATION LOG]])),
            C_1[[#This Row],[DESCRIPTION -  INFORMATION LOG]] &lt;&gt; "DESCRIPTION -  INFORMATION LOG"
        ),
        NOT(ISBLANK(C_1[[#This Row],[ACTION REQUIRED]]))
    ),
    "Y",
    "N"
)</f>
        <v>Y</v>
      </c>
      <c r="Y99" s="208"/>
      <c r="Z99" s="208"/>
    </row>
    <row r="100" spans="1:26" ht="30.75">
      <c r="A100" s="129" t="s">
        <v>269</v>
      </c>
      <c r="B100" s="211" t="s">
        <v>270</v>
      </c>
      <c r="C100" s="152" t="s">
        <v>95</v>
      </c>
      <c r="D100" s="144" t="s">
        <v>82</v>
      </c>
      <c r="E100" s="145" t="s">
        <v>271</v>
      </c>
      <c r="F100" s="204" t="s">
        <v>272</v>
      </c>
      <c r="G100" s="288" t="s">
        <v>77</v>
      </c>
      <c r="H100" s="93"/>
      <c r="I100" s="132" t="str" cm="1">
        <f t="array" ref="I100">IFERROR(_xlfn.TEXTJOIN(" / ", TRUE, IF(OWNER_LIST[Owner Name]=C_1[[#This Row],[OWNER NAME 1]], OWNER_LIST[Owner ORG], ""), IF(OWNER_LIST[Owner Name]=C_1[[#This Row],[OWNER NAME 2]], OWNER_LIST[Owner ORG], "")), "")</f>
        <v/>
      </c>
      <c r="J100" s="83"/>
      <c r="K100" s="83"/>
      <c r="L100" s="83"/>
      <c r="M100" s="133"/>
      <c r="N100" s="207"/>
      <c r="O100" s="208"/>
      <c r="P100" s="208"/>
      <c r="Q100" s="229"/>
      <c r="R100" s="229" t="str">
        <f xml:space="preserve"> _xlfn.CONCAT(C_1[[#This Row],[ESCALATE]], "-",C_1[[#This Row],[Row_PM]])</f>
        <v>-</v>
      </c>
      <c r="S100" s="229" t="str">
        <f xml:space="preserve"> _xlfn.CONCAT(C_1[[#This Row],[ESCALATE]], "-",C_1[[#This Row],[Notify_PM]])</f>
        <v>--</v>
      </c>
      <c r="T100" s="229">
        <f>ROW()</f>
        <v>100</v>
      </c>
      <c r="U100" s="229" t="str">
        <f>IF(C_1[[#This Row],[OWNER NAME 1]] = "", "",
   IF(_xlfn.XLOOKUP(C_1[[#This Row],[OWNER NAME 1]],OWNER_LIST[Owner Name], OWNER_LIST[Email], "") = "", "",
      _xlfn.XLOOKUP(C_1[[#This Row],[OWNER NAME 1]], OWNER_LIST[Owner Name], OWNER_LIST[Email], "")))</f>
        <v/>
      </c>
      <c r="V100" s="229" t="str">
        <f>IF(C_1[[#This Row],[OWNER NAME 2]] = "", "",
   IF(_xlfn.XLOOKUP(C_1[[#This Row],[OWNER NAME 2]],OWNER_LIST[Owner Name], OWNER_LIST[Email], "") = "", "",
      _xlfn.XLOOKUP(C_1[[#This Row],[OWNER NAME 2]], OWNER_LIST[Owner Name], OWNER_LIST[Email], "")))</f>
        <v/>
      </c>
      <c r="W100" s="229" t="str">
        <f t="shared" si="4"/>
        <v>C1</v>
      </c>
      <c r="X100" s="229" t="str">
        <f>IF(
    OR(
        AND(
            NOT(ISBLANK(C_1[[#This Row],[DESCRIPTION -  INFORMATION LOG]])),
            C_1[[#This Row],[DESCRIPTION -  INFORMATION LOG]] &lt;&gt; "DESCRIPTION -  INFORMATION LOG"
        ),
        NOT(ISBLANK(C_1[[#This Row],[ACTION REQUIRED]]))
    ),
    "Y",
    "N"
)</f>
        <v>Y</v>
      </c>
      <c r="Y100" s="208"/>
      <c r="Z100" s="208"/>
    </row>
    <row r="101" spans="1:26" ht="30.75">
      <c r="A101" s="129" t="s">
        <v>269</v>
      </c>
      <c r="B101" s="211" t="s">
        <v>273</v>
      </c>
      <c r="C101" s="152" t="s">
        <v>95</v>
      </c>
      <c r="D101" s="144" t="s">
        <v>82</v>
      </c>
      <c r="E101" s="259" t="s">
        <v>274</v>
      </c>
      <c r="F101" s="259" t="s">
        <v>275</v>
      </c>
      <c r="G101" s="287" t="s">
        <v>93</v>
      </c>
      <c r="H101" s="270">
        <v>46085</v>
      </c>
      <c r="I101" s="132" t="str" cm="1">
        <f t="array" ref="I101">IFERROR(_xlfn.TEXTJOIN(" / ", TRUE, IF(OWNER_LIST[Owner Name]=C_1[[#This Row],[OWNER NAME 1]], OWNER_LIST[Owner ORG], ""), IF(OWNER_LIST[Owner Name]=C_1[[#This Row],[OWNER NAME 2]], OWNER_LIST[Owner ORG], "")), "")</f>
        <v>RPN</v>
      </c>
      <c r="J101" s="262" t="s">
        <v>25</v>
      </c>
      <c r="K101" s="262"/>
      <c r="L101" s="262"/>
      <c r="M101" s="263"/>
      <c r="N101" s="312"/>
      <c r="O101" s="313"/>
      <c r="P101" s="313"/>
      <c r="Q101" s="229"/>
      <c r="R101" s="229" t="str">
        <f xml:space="preserve"> _xlfn.CONCAT(C_1[[#This Row],[ESCALATE]], "-",C_1[[#This Row],[Row_PM]])</f>
        <v>-</v>
      </c>
      <c r="S101" s="229" t="str">
        <f xml:space="preserve"> _xlfn.CONCAT(C_1[[#This Row],[ESCALATE]], "-",C_1[[#This Row],[Notify_PM]])</f>
        <v>--</v>
      </c>
      <c r="T101" s="229">
        <f>ROW()</f>
        <v>101</v>
      </c>
      <c r="U101" s="229" t="str">
        <f>IF(C_1[[#This Row],[OWNER NAME 1]] = "", "",
   IF(_xlfn.XLOOKUP(C_1[[#This Row],[OWNER NAME 1]],OWNER_LIST[Owner Name], OWNER_LIST[Email], "") = "", "",
      _xlfn.XLOOKUP(C_1[[#This Row],[OWNER NAME 1]], OWNER_LIST[Owner Name], OWNER_LIST[Email], "")))</f>
        <v>matteo.naldi@cmbcarpi.it</v>
      </c>
      <c r="V101" s="229" t="str">
        <f>IF(C_1[[#This Row],[OWNER NAME 2]] = "", "",
   IF(_xlfn.XLOOKUP(C_1[[#This Row],[OWNER NAME 2]],OWNER_LIST[Owner Name], OWNER_LIST[Email], "") = "", "",
      _xlfn.XLOOKUP(C_1[[#This Row],[OWNER NAME 2]], OWNER_LIST[Owner Name], OWNER_LIST[Email], "")))</f>
        <v/>
      </c>
      <c r="W101" s="229" t="str">
        <f>$A$37</f>
        <v>C1</v>
      </c>
      <c r="X101" s="229" t="str">
        <f>IF(
    OR(
        AND(
            NOT(ISBLANK(C_1[[#This Row],[DESCRIPTION -  INFORMATION LOG]])),
            C_1[[#This Row],[DESCRIPTION -  INFORMATION LOG]] &lt;&gt; "DESCRIPTION -  INFORMATION LOG"
        ),
        NOT(ISBLANK(C_1[[#This Row],[ACTION REQUIRED]]))
    ),
    "Y",
    "N"
)</f>
        <v>Y</v>
      </c>
      <c r="Y101" s="208"/>
      <c r="Z101" s="208"/>
    </row>
    <row r="102" spans="1:26" ht="30.75">
      <c r="A102" s="129" t="s">
        <v>269</v>
      </c>
      <c r="B102" s="211" t="s">
        <v>276</v>
      </c>
      <c r="C102" s="152" t="s">
        <v>95</v>
      </c>
      <c r="D102" s="144" t="s">
        <v>82</v>
      </c>
      <c r="E102" s="290" t="s">
        <v>277</v>
      </c>
      <c r="F102" s="290" t="s">
        <v>278</v>
      </c>
      <c r="G102" s="288" t="s">
        <v>85</v>
      </c>
      <c r="H102" s="93">
        <v>46082</v>
      </c>
      <c r="I102" s="132" t="str" cm="1">
        <f t="array" ref="I102">IFERROR(_xlfn.TEXTJOIN(" / ", TRUE, IF(OWNER_LIST[Owner Name]=C_1[[#This Row],[OWNER NAME 1]], OWNER_LIST[Owner ORG], ""), IF(OWNER_LIST[Owner Name]=C_1[[#This Row],[OWNER NAME 2]], OWNER_LIST[Owner ORG], "")), "")</f>
        <v>SHP</v>
      </c>
      <c r="J102" s="83" t="s">
        <v>40</v>
      </c>
      <c r="K102" s="83"/>
      <c r="L102" s="83"/>
      <c r="M102" s="133"/>
      <c r="N102" s="207"/>
      <c r="O102" s="208"/>
      <c r="P102" s="208"/>
      <c r="Q102" s="229"/>
      <c r="R102" s="229" t="str">
        <f xml:space="preserve"> _xlfn.CONCAT(C_1[[#This Row],[ESCALATE]], "-",C_1[[#This Row],[Row_PM]])</f>
        <v>-</v>
      </c>
      <c r="S102" s="229" t="str">
        <f xml:space="preserve"> _xlfn.CONCAT(C_1[[#This Row],[ESCALATE]], "-",C_1[[#This Row],[Notify_PM]])</f>
        <v>--</v>
      </c>
      <c r="T102" s="229">
        <f>ROW()</f>
        <v>102</v>
      </c>
      <c r="U102" s="229" t="str">
        <f>IF(C_1[[#This Row],[OWNER NAME 1]] = "", "",
   IF(_xlfn.XLOOKUP(C_1[[#This Row],[OWNER NAME 1]],OWNER_LIST[Owner Name], OWNER_LIST[Email], "") = "", "",
      _xlfn.XLOOKUP(C_1[[#This Row],[OWNER NAME 1]], OWNER_LIST[Owner Name], OWNER_LIST[Email], "")))</f>
        <v>jean.ferre@un.org</v>
      </c>
      <c r="V102" s="229" t="str">
        <f>IF(C_1[[#This Row],[OWNER NAME 2]] = "", "",
   IF(_xlfn.XLOOKUP(C_1[[#This Row],[OWNER NAME 2]],OWNER_LIST[Owner Name], OWNER_LIST[Email], "") = "", "",
      _xlfn.XLOOKUP(C_1[[#This Row],[OWNER NAME 2]], OWNER_LIST[Owner Name], OWNER_LIST[Email], "")))</f>
        <v/>
      </c>
      <c r="W102" s="229" t="str">
        <f t="shared" si="4"/>
        <v>C1</v>
      </c>
      <c r="X102" s="229" t="str">
        <f>IF(
    OR(
        AND(
            NOT(ISBLANK(C_1[[#This Row],[DESCRIPTION -  INFORMATION LOG]])),
            C_1[[#This Row],[DESCRIPTION -  INFORMATION LOG]] &lt;&gt; "DESCRIPTION -  INFORMATION LOG"
        ),
        NOT(ISBLANK(C_1[[#This Row],[ACTION REQUIRED]]))
    ),
    "Y",
    "N"
)</f>
        <v>Y</v>
      </c>
      <c r="Y102" s="208"/>
      <c r="Z102" s="208"/>
    </row>
    <row r="103" spans="1:26" ht="45.75">
      <c r="A103" s="129" t="s">
        <v>269</v>
      </c>
      <c r="B103" s="314" t="s">
        <v>279</v>
      </c>
      <c r="C103" s="152" t="s">
        <v>95</v>
      </c>
      <c r="D103" s="144" t="s">
        <v>82</v>
      </c>
      <c r="E103" s="259" t="s">
        <v>280</v>
      </c>
      <c r="F103" s="311" t="s">
        <v>281</v>
      </c>
      <c r="G103" s="287"/>
      <c r="H103" s="302"/>
      <c r="I103" s="261"/>
      <c r="J103" s="262"/>
      <c r="K103" s="262"/>
      <c r="L103" s="262"/>
      <c r="M103" s="301"/>
      <c r="N103" s="315"/>
      <c r="O103" s="313"/>
      <c r="P103" s="313"/>
      <c r="Q103" s="229"/>
      <c r="R103" s="229" t="str">
        <f xml:space="preserve"> _xlfn.CONCAT(C_1[[#This Row],[ESCALATE]], "-",C_1[[#This Row],[Row_PM]])</f>
        <v>-</v>
      </c>
      <c r="S103" s="229" t="str">
        <f xml:space="preserve"> _xlfn.CONCAT(C_1[[#This Row],[ESCALATE]], "-",C_1[[#This Row],[Notify_PM]])</f>
        <v>--</v>
      </c>
      <c r="T103" s="229">
        <f>ROW()</f>
        <v>103</v>
      </c>
      <c r="U103" s="229" t="str">
        <f>IF(C_1[[#This Row],[OWNER NAME 1]] = "", "",
   IF(_xlfn.XLOOKUP(C_1[[#This Row],[OWNER NAME 1]],OWNER_LIST[Owner Name], OWNER_LIST[Email], "") = "", "",
      _xlfn.XLOOKUP(C_1[[#This Row],[OWNER NAME 1]], OWNER_LIST[Owner Name], OWNER_LIST[Email], "")))</f>
        <v/>
      </c>
      <c r="V103" s="229" t="str">
        <f>IF(C_1[[#This Row],[OWNER NAME 2]] = "", "",
   IF(_xlfn.XLOOKUP(C_1[[#This Row],[OWNER NAME 2]],OWNER_LIST[Owner Name], OWNER_LIST[Email], "") = "", "",
      _xlfn.XLOOKUP(C_1[[#This Row],[OWNER NAME 2]], OWNER_LIST[Owner Name], OWNER_LIST[Email], "")))</f>
        <v/>
      </c>
      <c r="W103" s="229" t="str">
        <f>$A$37</f>
        <v>C1</v>
      </c>
      <c r="X103" s="229" t="str">
        <f>IF(
    OR(
        AND(
            NOT(ISBLANK(C_1[[#This Row],[DESCRIPTION -  INFORMATION LOG]])),
            C_1[[#This Row],[DESCRIPTION -  INFORMATION LOG]] &lt;&gt; "DESCRIPTION -  INFORMATION LOG"
        ),
        NOT(ISBLANK(C_1[[#This Row],[ACTION REQUIRED]]))
    ),
    "Y",
    "N"
)</f>
        <v>Y</v>
      </c>
      <c r="Y103" s="208"/>
      <c r="Z103" s="208"/>
    </row>
    <row r="104" spans="1:26" ht="45.75">
      <c r="A104" s="129" t="s">
        <v>269</v>
      </c>
      <c r="B104" s="211" t="s">
        <v>282</v>
      </c>
      <c r="C104" s="152" t="s">
        <v>95</v>
      </c>
      <c r="D104" s="144" t="s">
        <v>82</v>
      </c>
      <c r="E104" s="145" t="s">
        <v>283</v>
      </c>
      <c r="F104" s="290" t="s">
        <v>284</v>
      </c>
      <c r="G104" s="288" t="s">
        <v>85</v>
      </c>
      <c r="H104" s="93">
        <v>46071</v>
      </c>
      <c r="I104" s="132" t="str" cm="1">
        <f t="array" ref="I104">IFERROR(_xlfn.TEXTJOIN(" / ", TRUE, IF(OWNER_LIST[Owner Name]=C_1[[#This Row],[OWNER NAME 1]], OWNER_LIST[Owner ORG], ""), IF(OWNER_LIST[Owner Name]=C_1[[#This Row],[OWNER NAME 2]], OWNER_LIST[Owner ORG], "")), "")</f>
        <v>SHP</v>
      </c>
      <c r="J104" s="83" t="s">
        <v>40</v>
      </c>
      <c r="K104" s="83"/>
      <c r="L104" s="83"/>
      <c r="M104" s="133"/>
      <c r="N104" s="207"/>
      <c r="O104" s="208"/>
      <c r="P104" s="208"/>
      <c r="Q104" s="229"/>
      <c r="R104" s="229" t="str">
        <f xml:space="preserve"> _xlfn.CONCAT(C_1[[#This Row],[ESCALATE]], "-",C_1[[#This Row],[Row_PM]])</f>
        <v>-</v>
      </c>
      <c r="S104" s="229" t="str">
        <f xml:space="preserve"> _xlfn.CONCAT(C_1[[#This Row],[ESCALATE]], "-",C_1[[#This Row],[Notify_PM]])</f>
        <v>--</v>
      </c>
      <c r="T104" s="229">
        <f>ROW()</f>
        <v>104</v>
      </c>
      <c r="U104" s="229" t="str">
        <f>IF(C_1[[#This Row],[OWNER NAME 1]] = "", "",
   IF(_xlfn.XLOOKUP(C_1[[#This Row],[OWNER NAME 1]],OWNER_LIST[Owner Name], OWNER_LIST[Email], "") = "", "",
      _xlfn.XLOOKUP(C_1[[#This Row],[OWNER NAME 1]], OWNER_LIST[Owner Name], OWNER_LIST[Email], "")))</f>
        <v>jean.ferre@un.org</v>
      </c>
      <c r="V104" s="229" t="str">
        <f>IF(C_1[[#This Row],[OWNER NAME 2]] = "", "",
   IF(_xlfn.XLOOKUP(C_1[[#This Row],[OWNER NAME 2]],OWNER_LIST[Owner Name], OWNER_LIST[Email], "") = "", "",
      _xlfn.XLOOKUP(C_1[[#This Row],[OWNER NAME 2]], OWNER_LIST[Owner Name], OWNER_LIST[Email], "")))</f>
        <v/>
      </c>
      <c r="W104" s="229" t="str">
        <f t="shared" si="4"/>
        <v>C1</v>
      </c>
      <c r="X104" s="229" t="str">
        <f>IF(
    OR(
        AND(
            NOT(ISBLANK(C_1[[#This Row],[DESCRIPTION -  INFORMATION LOG]])),
            C_1[[#This Row],[DESCRIPTION -  INFORMATION LOG]] &lt;&gt; "DESCRIPTION -  INFORMATION LOG"
        ),
        NOT(ISBLANK(C_1[[#This Row],[ACTION REQUIRED]]))
    ),
    "Y",
    "N"
)</f>
        <v>Y</v>
      </c>
      <c r="Y104" s="208"/>
      <c r="Z104" s="208"/>
    </row>
    <row r="105" spans="1:26" ht="30.75">
      <c r="A105" s="129" t="s">
        <v>269</v>
      </c>
      <c r="B105" s="314" t="s">
        <v>285</v>
      </c>
      <c r="C105" s="152" t="s">
        <v>95</v>
      </c>
      <c r="D105" s="144" t="s">
        <v>82</v>
      </c>
      <c r="E105" s="259" t="s">
        <v>286</v>
      </c>
      <c r="F105" s="259" t="s">
        <v>287</v>
      </c>
      <c r="G105" s="288" t="s">
        <v>85</v>
      </c>
      <c r="H105" s="270">
        <v>46092</v>
      </c>
      <c r="I105" s="132" t="str" cm="1">
        <f t="array" ref="I105">IFERROR(_xlfn.TEXTJOIN(" / ", TRUE, IF(OWNER_LIST[Owner Name]=C_1[[#This Row],[OWNER NAME 1]], OWNER_LIST[Owner ORG], ""), IF(OWNER_LIST[Owner Name]=C_1[[#This Row],[OWNER NAME 2]], OWNER_LIST[Owner ORG], "")), "")</f>
        <v>SHP</v>
      </c>
      <c r="J105" s="262" t="s">
        <v>41</v>
      </c>
      <c r="K105" s="262"/>
      <c r="L105" s="262"/>
      <c r="M105" s="263"/>
      <c r="N105" s="312"/>
      <c r="O105" s="313"/>
      <c r="P105" s="313"/>
      <c r="Q105" s="229"/>
      <c r="R105" s="229" t="str">
        <f xml:space="preserve"> _xlfn.CONCAT(C_1[[#This Row],[ESCALATE]], "-",C_1[[#This Row],[Row_PM]])</f>
        <v>-</v>
      </c>
      <c r="S105" s="229" t="str">
        <f xml:space="preserve"> _xlfn.CONCAT(C_1[[#This Row],[ESCALATE]], "-",C_1[[#This Row],[Notify_PM]])</f>
        <v>--</v>
      </c>
      <c r="T105" s="229">
        <f>ROW()</f>
        <v>105</v>
      </c>
      <c r="U105" s="229" t="str">
        <f>IF(C_1[[#This Row],[OWNER NAME 1]] = "", "",
   IF(_xlfn.XLOOKUP(C_1[[#This Row],[OWNER NAME 1]],OWNER_LIST[Owner Name], OWNER_LIST[Email], "") = "", "",
      _xlfn.XLOOKUP(C_1[[#This Row],[OWNER NAME 1]], OWNER_LIST[Owner Name], OWNER_LIST[Email], "")))</f>
        <v>kateryna.starykova@un.org</v>
      </c>
      <c r="V105" s="229" t="str">
        <f>IF(C_1[[#This Row],[OWNER NAME 2]] = "", "",
   IF(_xlfn.XLOOKUP(C_1[[#This Row],[OWNER NAME 2]],OWNER_LIST[Owner Name], OWNER_LIST[Email], "") = "", "",
      _xlfn.XLOOKUP(C_1[[#This Row],[OWNER NAME 2]], OWNER_LIST[Owner Name], OWNER_LIST[Email], "")))</f>
        <v/>
      </c>
      <c r="W105" s="229" t="str">
        <f>$A$37</f>
        <v>C1</v>
      </c>
      <c r="X105" s="229" t="str">
        <f>IF(
    OR(
        AND(
            NOT(ISBLANK(C_1[[#This Row],[DESCRIPTION -  INFORMATION LOG]])),
            C_1[[#This Row],[DESCRIPTION -  INFORMATION LOG]] &lt;&gt; "DESCRIPTION -  INFORMATION LOG"
        ),
        NOT(ISBLANK(C_1[[#This Row],[ACTION REQUIRED]]))
    ),
    "Y",
    "N"
)</f>
        <v>Y</v>
      </c>
      <c r="Y105" s="208"/>
      <c r="Z105" s="208"/>
    </row>
    <row r="106" spans="1:26" ht="30.75">
      <c r="A106" s="129" t="s">
        <v>269</v>
      </c>
      <c r="B106" s="314" t="s">
        <v>288</v>
      </c>
      <c r="C106" s="152" t="s">
        <v>95</v>
      </c>
      <c r="D106" s="144" t="s">
        <v>82</v>
      </c>
      <c r="E106" s="259" t="s">
        <v>289</v>
      </c>
      <c r="F106" s="259" t="s">
        <v>290</v>
      </c>
      <c r="G106" s="289" t="s">
        <v>85</v>
      </c>
      <c r="H106" s="275">
        <v>46087</v>
      </c>
      <c r="I106" s="132" t="str" cm="1">
        <f t="array" ref="I106">IFERROR(_xlfn.TEXTJOIN(" / ", TRUE, IF(OWNER_LIST[Owner Name]=C_1[[#This Row],[OWNER NAME 1]], OWNER_LIST[Owner ORG], ""), IF(OWNER_LIST[Owner Name]=C_1[[#This Row],[OWNER NAME 2]], OWNER_LIST[Owner ORG], "")), "")</f>
        <v>SHP / SHP</v>
      </c>
      <c r="J106" s="266" t="s">
        <v>38</v>
      </c>
      <c r="K106" s="262" t="s">
        <v>214</v>
      </c>
      <c r="L106" s="262"/>
      <c r="M106" s="301"/>
      <c r="N106" s="315"/>
      <c r="O106" s="313"/>
      <c r="P106" s="313"/>
      <c r="Q106" s="229"/>
      <c r="R106" s="229" t="str">
        <f xml:space="preserve"> _xlfn.CONCAT(C_1[[#This Row],[ESCALATE]], "-",C_1[[#This Row],[Row_PM]])</f>
        <v>-</v>
      </c>
      <c r="S106" s="229" t="str">
        <f xml:space="preserve"> _xlfn.CONCAT(C_1[[#This Row],[ESCALATE]], "-",C_1[[#This Row],[Notify_PM]])</f>
        <v>--</v>
      </c>
      <c r="T106" s="229">
        <f>ROW()</f>
        <v>106</v>
      </c>
      <c r="U106" s="229" t="str">
        <f>IF(C_1[[#This Row],[OWNER NAME 1]] = "", "",
   IF(_xlfn.XLOOKUP(C_1[[#This Row],[OWNER NAME 1]],OWNER_LIST[Owner Name], OWNER_LIST[Email], "") = "", "",
      _xlfn.XLOOKUP(C_1[[#This Row],[OWNER NAME 1]], OWNER_LIST[Owner Name], OWNER_LIST[Email], "")))</f>
        <v>cedric.kusendova@un.org</v>
      </c>
      <c r="V106" s="229" t="str">
        <f>IF(C_1[[#This Row],[OWNER NAME 2]] = "", "",
   IF(_xlfn.XLOOKUP(C_1[[#This Row],[OWNER NAME 2]],OWNER_LIST[Owner Name], OWNER_LIST[Email], "") = "", "",
      _xlfn.XLOOKUP(C_1[[#This Row],[OWNER NAME 2]], OWNER_LIST[Owner Name], OWNER_LIST[Email], "")))</f>
        <v>patrick.vogelsang@un.org</v>
      </c>
      <c r="W106" s="229" t="str">
        <f>$A$37</f>
        <v>C1</v>
      </c>
      <c r="X106" s="229" t="str">
        <f>IF(
    OR(
        AND(
            NOT(ISBLANK(C_1[[#This Row],[DESCRIPTION -  INFORMATION LOG]])),
            C_1[[#This Row],[DESCRIPTION -  INFORMATION LOG]] &lt;&gt; "DESCRIPTION -  INFORMATION LOG"
        ),
        NOT(ISBLANK(C_1[[#This Row],[ACTION REQUIRED]]))
    ),
    "Y",
    "N"
)</f>
        <v>Y</v>
      </c>
      <c r="Y106" s="208"/>
      <c r="Z106" s="208"/>
    </row>
    <row r="107" spans="1:26" ht="30.75">
      <c r="A107" s="129" t="s">
        <v>269</v>
      </c>
      <c r="B107" s="210" t="s">
        <v>291</v>
      </c>
      <c r="C107" s="152" t="s">
        <v>95</v>
      </c>
      <c r="D107" s="144" t="s">
        <v>82</v>
      </c>
      <c r="E107" s="129" t="s">
        <v>292</v>
      </c>
      <c r="F107" s="129" t="s">
        <v>293</v>
      </c>
      <c r="G107" s="197" t="s">
        <v>77</v>
      </c>
      <c r="H107" s="93">
        <v>45959</v>
      </c>
      <c r="I107" s="132" t="str" cm="1">
        <f t="array" ref="I107">IFERROR(_xlfn.TEXTJOIN(" / ", TRUE, IF(OWNER_LIST[Owner Name]=C_1[[#This Row],[OWNER NAME 1]], OWNER_LIST[Owner ORG], ""), IF(OWNER_LIST[Owner Name]=C_1[[#This Row],[OWNER NAME 2]], OWNER_LIST[Owner ORG], "")), "")</f>
        <v>RPN / SOMBP</v>
      </c>
      <c r="J107" s="83" t="s">
        <v>25</v>
      </c>
      <c r="K107" s="83" t="s">
        <v>43</v>
      </c>
      <c r="L107" s="83"/>
      <c r="M107" s="133"/>
      <c r="N107" s="207"/>
      <c r="O107" s="208"/>
      <c r="P107" s="208"/>
      <c r="Q107" s="229"/>
      <c r="R107" s="229" t="str">
        <f xml:space="preserve"> _xlfn.CONCAT(C_1[[#This Row],[ESCALATE]], "-",C_1[[#This Row],[Row_PM]])</f>
        <v>-</v>
      </c>
      <c r="S107" s="229" t="str">
        <f xml:space="preserve"> _xlfn.CONCAT(C_1[[#This Row],[ESCALATE]], "-",C_1[[#This Row],[Notify_PM]])</f>
        <v>--</v>
      </c>
      <c r="T107" s="229">
        <f>ROW()</f>
        <v>107</v>
      </c>
      <c r="U107" s="229" t="str">
        <f>IF(C_1[[#This Row],[OWNER NAME 1]] = "", "",
   IF(_xlfn.XLOOKUP(C_1[[#This Row],[OWNER NAME 1]],OWNER_LIST[Owner Name], OWNER_LIST[Email], "") = "", "",
      _xlfn.XLOOKUP(C_1[[#This Row],[OWNER NAME 1]], OWNER_LIST[Owner Name], OWNER_LIST[Email], "")))</f>
        <v>matteo.naldi@cmbcarpi.it</v>
      </c>
      <c r="V107" s="229" t="str">
        <f>IF(C_1[[#This Row],[OWNER NAME 2]] = "", "",
   IF(_xlfn.XLOOKUP(C_1[[#This Row],[OWNER NAME 2]],OWNER_LIST[Owner Name], OWNER_LIST[Email], "") = "", "",
      _xlfn.XLOOKUP(C_1[[#This Row],[OWNER NAME 2]], OWNER_LIST[Owner Name], OWNER_LIST[Email], "")))</f>
        <v>ce@erard.biz</v>
      </c>
      <c r="W107" s="229" t="str">
        <f t="shared" si="4"/>
        <v>C1</v>
      </c>
      <c r="X107" s="229" t="str">
        <f>IF(
    OR(
        AND(
            NOT(ISBLANK(C_1[[#This Row],[DESCRIPTION -  INFORMATION LOG]])),
            C_1[[#This Row],[DESCRIPTION -  INFORMATION LOG]] &lt;&gt; "DESCRIPTION -  INFORMATION LOG"
        ),
        NOT(ISBLANK(C_1[[#This Row],[ACTION REQUIRED]]))
    ),
    "Y",
    "N"
)</f>
        <v>Y</v>
      </c>
      <c r="Y107" s="208"/>
      <c r="Z107" s="208"/>
    </row>
    <row r="108" spans="1:26" ht="121.5">
      <c r="A108" s="129" t="s">
        <v>294</v>
      </c>
      <c r="B108" s="210" t="s">
        <v>295</v>
      </c>
      <c r="C108" s="152" t="s">
        <v>95</v>
      </c>
      <c r="D108" s="144" t="s">
        <v>82</v>
      </c>
      <c r="E108" s="254" t="s">
        <v>296</v>
      </c>
      <c r="F108" s="145" t="s">
        <v>297</v>
      </c>
      <c r="G108" s="197" t="s">
        <v>77</v>
      </c>
      <c r="H108" s="93">
        <v>45996</v>
      </c>
      <c r="I108" s="132" t="str" cm="1">
        <f t="array" ref="I108">IFERROR(_xlfn.TEXTJOIN(" / ", TRUE, IF(OWNER_LIST[Owner Name]=C_1[[#This Row],[OWNER NAME 1]], OWNER_LIST[Owner ORG], ""), IF(OWNER_LIST[Owner Name]=C_1[[#This Row],[OWNER NAME 2]], OWNER_LIST[Owner ORG], "")), "")</f>
        <v>RPN</v>
      </c>
      <c r="J108" s="83" t="s">
        <v>32</v>
      </c>
      <c r="K108" s="83"/>
      <c r="L108" s="83"/>
      <c r="M108" s="133"/>
      <c r="N108" s="207"/>
      <c r="O108" s="208"/>
      <c r="P108" s="208"/>
      <c r="Q108" s="229"/>
      <c r="R108" s="229" t="str">
        <f xml:space="preserve"> _xlfn.CONCAT(C_1[[#This Row],[ESCALATE]], "-",C_1[[#This Row],[Row_PM]])</f>
        <v>-</v>
      </c>
      <c r="S108" s="229" t="str">
        <f xml:space="preserve"> _xlfn.CONCAT(C_1[[#This Row],[ESCALATE]], "-",C_1[[#This Row],[Notify_PM]])</f>
        <v>--</v>
      </c>
      <c r="T108" s="229">
        <f>ROW()</f>
        <v>108</v>
      </c>
      <c r="U108" s="229" t="str">
        <f>IF(C_1[[#This Row],[OWNER NAME 1]] = "", "",
   IF(_xlfn.XLOOKUP(C_1[[#This Row],[OWNER NAME 1]],OWNER_LIST[Owner Name], OWNER_LIST[Email], "") = "", "",
      _xlfn.XLOOKUP(C_1[[#This Row],[OWNER NAME 1]], OWNER_LIST[Owner Name], OWNER_LIST[Email], "")))</f>
        <v>hacir.degirmencioglu@rpn-sa.ch</v>
      </c>
      <c r="V108" s="229" t="str">
        <f>IF(C_1[[#This Row],[OWNER NAME 2]] = "", "",
   IF(_xlfn.XLOOKUP(C_1[[#This Row],[OWNER NAME 2]],OWNER_LIST[Owner Name], OWNER_LIST[Email], "") = "", "",
      _xlfn.XLOOKUP(C_1[[#This Row],[OWNER NAME 2]], OWNER_LIST[Owner Name], OWNER_LIST[Email], "")))</f>
        <v/>
      </c>
      <c r="W108" s="229" t="str">
        <f t="shared" si="4"/>
        <v>C1</v>
      </c>
      <c r="X108" s="229" t="str">
        <f>IF(
    OR(
        AND(
            NOT(ISBLANK(C_1[[#This Row],[DESCRIPTION -  INFORMATION LOG]])),
            C_1[[#This Row],[DESCRIPTION -  INFORMATION LOG]] &lt;&gt; "DESCRIPTION -  INFORMATION LOG"
        ),
        NOT(ISBLANK(C_1[[#This Row],[ACTION REQUIRED]]))
    ),
    "Y",
    "N"
)</f>
        <v>Y</v>
      </c>
      <c r="Y108" s="208"/>
      <c r="Z108" s="208"/>
    </row>
    <row r="109" spans="1:26" ht="91.5">
      <c r="A109" s="129" t="s">
        <v>294</v>
      </c>
      <c r="B109" s="210" t="s">
        <v>298</v>
      </c>
      <c r="C109" s="152" t="s">
        <v>81</v>
      </c>
      <c r="D109" s="144" t="s">
        <v>82</v>
      </c>
      <c r="E109" s="280" t="s">
        <v>299</v>
      </c>
      <c r="F109" s="259" t="s">
        <v>300</v>
      </c>
      <c r="G109" s="197" t="s">
        <v>77</v>
      </c>
      <c r="H109" s="93">
        <v>45996</v>
      </c>
      <c r="I109" s="132" t="str" cm="1">
        <f t="array" ref="I109">IFERROR(_xlfn.TEXTJOIN(" / ", TRUE, IF(OWNER_LIST[Owner Name]=C_1[[#This Row],[OWNER NAME 1]], OWNER_LIST[Owner ORG], ""), IF(OWNER_LIST[Owner Name]=C_1[[#This Row],[OWNER NAME 2]], OWNER_LIST[Owner ORG], "")), "")</f>
        <v>RPN / RPN</v>
      </c>
      <c r="J109" s="83" t="s">
        <v>30</v>
      </c>
      <c r="K109" s="83" t="s">
        <v>25</v>
      </c>
      <c r="L109" s="83"/>
      <c r="M109" s="133"/>
      <c r="N109" s="207"/>
      <c r="O109" s="208"/>
      <c r="P109" s="208"/>
      <c r="Q109" s="229"/>
      <c r="R109" s="229" t="str">
        <f xml:space="preserve"> _xlfn.CONCAT(C_1[[#This Row],[ESCALATE]], "-",C_1[[#This Row],[Row_PM]])</f>
        <v>-</v>
      </c>
      <c r="S109" s="229" t="str">
        <f xml:space="preserve"> _xlfn.CONCAT(C_1[[#This Row],[ESCALATE]], "-",C_1[[#This Row],[Notify_PM]])</f>
        <v>--</v>
      </c>
      <c r="T109" s="229">
        <f>ROW()</f>
        <v>109</v>
      </c>
      <c r="U109" s="229" t="str">
        <f>IF(C_1[[#This Row],[OWNER NAME 1]] = "", "",
   IF(_xlfn.XLOOKUP(C_1[[#This Row],[OWNER NAME 1]],OWNER_LIST[Owner Name], OWNER_LIST[Email], "") = "", "",
      _xlfn.XLOOKUP(C_1[[#This Row],[OWNER NAME 1]], OWNER_LIST[Owner Name], OWNER_LIST[Email], "")))</f>
        <v>simone.conti@cmbcarpi.it</v>
      </c>
      <c r="V109" s="229" t="str">
        <f>IF(C_1[[#This Row],[OWNER NAME 2]] = "", "",
   IF(_xlfn.XLOOKUP(C_1[[#This Row],[OWNER NAME 2]],OWNER_LIST[Owner Name], OWNER_LIST[Email], "") = "", "",
      _xlfn.XLOOKUP(C_1[[#This Row],[OWNER NAME 2]], OWNER_LIST[Owner Name], OWNER_LIST[Email], "")))</f>
        <v>matteo.naldi@cmbcarpi.it</v>
      </c>
      <c r="W109" s="229" t="str">
        <f t="shared" si="4"/>
        <v>C1</v>
      </c>
      <c r="X109" s="229" t="str">
        <f>IF(
    OR(
        AND(
            NOT(ISBLANK(C_1[[#This Row],[DESCRIPTION -  INFORMATION LOG]])),
            C_1[[#This Row],[DESCRIPTION -  INFORMATION LOG]] &lt;&gt; "DESCRIPTION -  INFORMATION LOG"
        ),
        NOT(ISBLANK(C_1[[#This Row],[ACTION REQUIRED]]))
    ),
    "Y",
    "N"
)</f>
        <v>Y</v>
      </c>
      <c r="Y109" s="208"/>
      <c r="Z109" s="208"/>
    </row>
    <row r="110" spans="1:26" ht="91.5">
      <c r="A110" s="129" t="s">
        <v>294</v>
      </c>
      <c r="B110" s="210" t="s">
        <v>301</v>
      </c>
      <c r="C110" s="152" t="s">
        <v>81</v>
      </c>
      <c r="D110" s="144" t="s">
        <v>82</v>
      </c>
      <c r="E110" s="241" t="s">
        <v>302</v>
      </c>
      <c r="F110" s="209" t="s">
        <v>303</v>
      </c>
      <c r="G110" s="197" t="s">
        <v>77</v>
      </c>
      <c r="H110" s="93">
        <v>45959</v>
      </c>
      <c r="I110" s="132" t="str" cm="1">
        <f t="array" ref="I110">IFERROR(_xlfn.TEXTJOIN(" / ", TRUE, IF(OWNER_LIST[Owner Name]=C_1[[#This Row],[OWNER NAME 1]], OWNER_LIST[Owner ORG], ""), IF(OWNER_LIST[Owner Name]=C_1[[#This Row],[OWNER NAME 2]], OWNER_LIST[Owner ORG], "")), "")</f>
        <v>RPN / RPN</v>
      </c>
      <c r="J110" s="83" t="s">
        <v>25</v>
      </c>
      <c r="K110" s="83" t="s">
        <v>24</v>
      </c>
      <c r="L110" s="83"/>
      <c r="M110" s="133"/>
      <c r="N110" s="207"/>
      <c r="O110" s="208"/>
      <c r="P110" s="208"/>
      <c r="Q110" s="229"/>
      <c r="R110" s="229" t="str">
        <f xml:space="preserve"> _xlfn.CONCAT(C_1[[#This Row],[ESCALATE]], "-",C_1[[#This Row],[Row_PM]])</f>
        <v>-</v>
      </c>
      <c r="S110" s="229" t="str">
        <f xml:space="preserve"> _xlfn.CONCAT(C_1[[#This Row],[ESCALATE]], "-",C_1[[#This Row],[Notify_PM]])</f>
        <v>--</v>
      </c>
      <c r="T110" s="229">
        <f>ROW()</f>
        <v>110</v>
      </c>
      <c r="U110" s="229" t="str">
        <f>IF(C_1[[#This Row],[OWNER NAME 1]] = "", "",
   IF(_xlfn.XLOOKUP(C_1[[#This Row],[OWNER NAME 1]],OWNER_LIST[Owner Name], OWNER_LIST[Email], "") = "", "",
      _xlfn.XLOOKUP(C_1[[#This Row],[OWNER NAME 1]], OWNER_LIST[Owner Name], OWNER_LIST[Email], "")))</f>
        <v>matteo.naldi@cmbcarpi.it</v>
      </c>
      <c r="V110" s="229" t="str">
        <f>IF(C_1[[#This Row],[OWNER NAME 2]] = "", "",
   IF(_xlfn.XLOOKUP(C_1[[#This Row],[OWNER NAME 2]],OWNER_LIST[Owner Name], OWNER_LIST[Email], "") = "", "",
      _xlfn.XLOOKUP(C_1[[#This Row],[OWNER NAME 2]], OWNER_LIST[Owner Name], OWNER_LIST[Email], "")))</f>
        <v>lorenzo.barnini@cmbcarpi.it</v>
      </c>
      <c r="W110" s="229" t="str">
        <f t="shared" si="4"/>
        <v>C1</v>
      </c>
      <c r="X110" s="229" t="str">
        <f>IF(
    OR(
        AND(
            NOT(ISBLANK(C_1[[#This Row],[DESCRIPTION -  INFORMATION LOG]])),
            C_1[[#This Row],[DESCRIPTION -  INFORMATION LOG]] &lt;&gt; "DESCRIPTION -  INFORMATION LOG"
        ),
        NOT(ISBLANK(C_1[[#This Row],[ACTION REQUIRED]]))
    ),
    "Y",
    "N"
)</f>
        <v>Y</v>
      </c>
      <c r="Y110" s="208"/>
      <c r="Z110" s="208"/>
    </row>
    <row r="111" spans="1:26">
      <c r="A111" s="129" t="s">
        <v>294</v>
      </c>
      <c r="B111" s="211" t="s">
        <v>304</v>
      </c>
      <c r="C111" s="152" t="s">
        <v>81</v>
      </c>
      <c r="D111" s="144" t="s">
        <v>82</v>
      </c>
      <c r="E111" s="145" t="s">
        <v>305</v>
      </c>
      <c r="F111" s="145" t="s">
        <v>306</v>
      </c>
      <c r="G111" s="288" t="s">
        <v>85</v>
      </c>
      <c r="H111" s="93">
        <v>46072</v>
      </c>
      <c r="I111" s="132" t="str" cm="1">
        <f t="array" ref="I111">IFERROR(_xlfn.TEXTJOIN(" / ", TRUE, IF(OWNER_LIST[Owner Name]=C_1[[#This Row],[OWNER NAME 1]], OWNER_LIST[Owner ORG], ""), IF(OWNER_LIST[Owner Name]=C_1[[#This Row],[OWNER NAME 2]], OWNER_LIST[Owner ORG], "")), "")</f>
        <v>RPN / SBIS</v>
      </c>
      <c r="J111" s="83" t="s">
        <v>25</v>
      </c>
      <c r="K111" s="83" t="s">
        <v>307</v>
      </c>
      <c r="L111" s="83"/>
      <c r="M111" s="133"/>
      <c r="N111" s="207"/>
      <c r="O111" s="208"/>
      <c r="P111" s="208"/>
      <c r="Q111" s="229"/>
      <c r="R111" s="229" t="str">
        <f xml:space="preserve"> _xlfn.CONCAT(C_1[[#This Row],[ESCALATE]], "-",C_1[[#This Row],[Row_PM]])</f>
        <v>-</v>
      </c>
      <c r="S111" s="229" t="str">
        <f xml:space="preserve"> _xlfn.CONCAT(C_1[[#This Row],[ESCALATE]], "-",C_1[[#This Row],[Notify_PM]])</f>
        <v>--</v>
      </c>
      <c r="T111" s="229">
        <f>ROW()</f>
        <v>111</v>
      </c>
      <c r="U111" s="229" t="str">
        <f>IF(C_1[[#This Row],[OWNER NAME 1]] = "", "",
   IF(_xlfn.XLOOKUP(C_1[[#This Row],[OWNER NAME 1]],OWNER_LIST[Owner Name], OWNER_LIST[Email], "") = "", "",
      _xlfn.XLOOKUP(C_1[[#This Row],[OWNER NAME 1]], OWNER_LIST[Owner Name], OWNER_LIST[Email], "")))</f>
        <v>matteo.naldi@cmbcarpi.it</v>
      </c>
      <c r="V111" s="229" t="str">
        <f>IF(C_1[[#This Row],[OWNER NAME 2]] = "", "",
   IF(_xlfn.XLOOKUP(C_1[[#This Row],[OWNER NAME 2]],OWNER_LIST[Owner Name], OWNER_LIST[Email], "") = "", "",
      _xlfn.XLOOKUP(C_1[[#This Row],[OWNER NAME 2]], OWNER_LIST[Owner Name], OWNER_LIST[Email], "")))</f>
        <v>olivier.zuercher@sbis.ch</v>
      </c>
      <c r="W111" s="229" t="str">
        <f t="shared" si="4"/>
        <v>C1</v>
      </c>
      <c r="X111" s="229" t="str">
        <f>IF(
    OR(
        AND(
            NOT(ISBLANK(C_1[[#This Row],[DESCRIPTION -  INFORMATION LOG]])),
            C_1[[#This Row],[DESCRIPTION -  INFORMATION LOG]] &lt;&gt; "DESCRIPTION -  INFORMATION LOG"
        ),
        NOT(ISBLANK(C_1[[#This Row],[ACTION REQUIRED]]))
    ),
    "Y",
    "N"
)</f>
        <v>Y</v>
      </c>
      <c r="Y111" s="208"/>
      <c r="Z111" s="208"/>
    </row>
    <row r="112" spans="1:26" ht="45.75">
      <c r="A112" s="129" t="s">
        <v>294</v>
      </c>
      <c r="B112" s="211" t="s">
        <v>308</v>
      </c>
      <c r="C112" s="152" t="s">
        <v>95</v>
      </c>
      <c r="D112" s="144" t="s">
        <v>82</v>
      </c>
      <c r="E112" s="311" t="s">
        <v>309</v>
      </c>
      <c r="F112" s="145" t="s">
        <v>310</v>
      </c>
      <c r="G112" s="288" t="s">
        <v>77</v>
      </c>
      <c r="H112" s="93">
        <v>46043</v>
      </c>
      <c r="I112" s="132" t="str" cm="1">
        <f t="array" ref="I112">IFERROR(_xlfn.TEXTJOIN(" / ", TRUE, IF(OWNER_LIST[Owner Name]=C_1[[#This Row],[OWNER NAME 1]], OWNER_LIST[Owner ORG], ""), IF(OWNER_LIST[Owner Name]=C_1[[#This Row],[OWNER NAME 2]], OWNER_LIST[Owner ORG], "")), "")</f>
        <v>RPN</v>
      </c>
      <c r="J112" s="83" t="s">
        <v>25</v>
      </c>
      <c r="K112" s="83"/>
      <c r="L112" s="83"/>
      <c r="M112" s="133"/>
      <c r="N112" s="207"/>
      <c r="O112" s="208"/>
      <c r="P112" s="208"/>
      <c r="Q112" s="229"/>
      <c r="R112" s="229" t="str">
        <f xml:space="preserve"> _xlfn.CONCAT(C_1[[#This Row],[ESCALATE]], "-",C_1[[#This Row],[Row_PM]])</f>
        <v>-</v>
      </c>
      <c r="S112" s="229" t="str">
        <f xml:space="preserve"> _xlfn.CONCAT(C_1[[#This Row],[ESCALATE]], "-",C_1[[#This Row],[Notify_PM]])</f>
        <v>--</v>
      </c>
      <c r="T112" s="229">
        <f>ROW()</f>
        <v>112</v>
      </c>
      <c r="U112" s="229" t="str">
        <f>IF(C_1[[#This Row],[OWNER NAME 1]] = "", "",
   IF(_xlfn.XLOOKUP(C_1[[#This Row],[OWNER NAME 1]],OWNER_LIST[Owner Name], OWNER_LIST[Email], "") = "", "",
      _xlfn.XLOOKUP(C_1[[#This Row],[OWNER NAME 1]], OWNER_LIST[Owner Name], OWNER_LIST[Email], "")))</f>
        <v>matteo.naldi@cmbcarpi.it</v>
      </c>
      <c r="V112" s="229" t="str">
        <f>IF(C_1[[#This Row],[OWNER NAME 2]] = "", "",
   IF(_xlfn.XLOOKUP(C_1[[#This Row],[OWNER NAME 2]],OWNER_LIST[Owner Name], OWNER_LIST[Email], "") = "", "",
      _xlfn.XLOOKUP(C_1[[#This Row],[OWNER NAME 2]], OWNER_LIST[Owner Name], OWNER_LIST[Email], "")))</f>
        <v/>
      </c>
      <c r="W112" s="229" t="str">
        <f t="shared" si="4"/>
        <v>C1</v>
      </c>
      <c r="X112" s="229" t="str">
        <f>IF(
    OR(
        AND(
            NOT(ISBLANK(C_1[[#This Row],[DESCRIPTION -  INFORMATION LOG]])),
            C_1[[#This Row],[DESCRIPTION -  INFORMATION LOG]] &lt;&gt; "DESCRIPTION -  INFORMATION LOG"
        ),
        NOT(ISBLANK(C_1[[#This Row],[ACTION REQUIRED]]))
    ),
    "Y",
    "N"
)</f>
        <v>Y</v>
      </c>
      <c r="Y112" s="208"/>
      <c r="Z112" s="208"/>
    </row>
    <row r="113" spans="1:26" ht="45.75">
      <c r="A113" s="129" t="s">
        <v>294</v>
      </c>
      <c r="B113" s="314" t="s">
        <v>311</v>
      </c>
      <c r="C113" s="152" t="s">
        <v>95</v>
      </c>
      <c r="D113" s="144" t="s">
        <v>82</v>
      </c>
      <c r="E113" s="311" t="s">
        <v>312</v>
      </c>
      <c r="F113" s="259" t="s">
        <v>313</v>
      </c>
      <c r="G113" s="287" t="s">
        <v>85</v>
      </c>
      <c r="H113" s="270">
        <v>46057</v>
      </c>
      <c r="I113" s="132" t="str" cm="1">
        <f t="array" ref="I113">IFERROR(_xlfn.TEXTJOIN(" / ", TRUE, IF(OWNER_LIST[Owner Name]=C_1[[#This Row],[OWNER NAME 1]], OWNER_LIST[Owner ORG], ""), IF(OWNER_LIST[Owner Name]=C_1[[#This Row],[OWNER NAME 2]], OWNER_LIST[Owner ORG], "")), "")</f>
        <v>G&amp;T</v>
      </c>
      <c r="J113" s="262" t="s">
        <v>134</v>
      </c>
      <c r="K113" s="262"/>
      <c r="L113" s="262"/>
      <c r="M113" s="263"/>
      <c r="N113" s="312"/>
      <c r="O113" s="313"/>
      <c r="P113" s="313"/>
      <c r="Q113" s="229"/>
      <c r="R113" s="229" t="str">
        <f xml:space="preserve"> _xlfn.CONCAT(C_1[[#This Row],[ESCALATE]], "-",C_1[[#This Row],[Row_PM]])</f>
        <v>-</v>
      </c>
      <c r="S113" s="229" t="str">
        <f xml:space="preserve"> _xlfn.CONCAT(C_1[[#This Row],[ESCALATE]], "-",C_1[[#This Row],[Notify_PM]])</f>
        <v>--</v>
      </c>
      <c r="T113" s="229">
        <f>ROW()</f>
        <v>113</v>
      </c>
      <c r="U113" s="229" t="str">
        <f>IF(C_1[[#This Row],[OWNER NAME 1]] = "", "",
   IF(_xlfn.XLOOKUP(C_1[[#This Row],[OWNER NAME 1]],OWNER_LIST[Owner Name], OWNER_LIST[Email], "") = "", "",
      _xlfn.XLOOKUP(C_1[[#This Row],[OWNER NAME 1]], OWNER_LIST[Owner Name], OWNER_LIST[Email], "")))</f>
        <v>c.omalley@gardiner.com</v>
      </c>
      <c r="V113" s="229" t="str">
        <f>IF(C_1[[#This Row],[OWNER NAME 2]] = "", "",
   IF(_xlfn.XLOOKUP(C_1[[#This Row],[OWNER NAME 2]],OWNER_LIST[Owner Name], OWNER_LIST[Email], "") = "", "",
      _xlfn.XLOOKUP(C_1[[#This Row],[OWNER NAME 2]], OWNER_LIST[Owner Name], OWNER_LIST[Email], "")))</f>
        <v/>
      </c>
      <c r="W113" s="229" t="str">
        <f>$A$37</f>
        <v>C1</v>
      </c>
      <c r="X113" s="229" t="str">
        <f>IF(
    OR(
        AND(
            NOT(ISBLANK(C_1[[#This Row],[DESCRIPTION -  INFORMATION LOG]])),
            C_1[[#This Row],[DESCRIPTION -  INFORMATION LOG]] &lt;&gt; "DESCRIPTION -  INFORMATION LOG"
        ),
        NOT(ISBLANK(C_1[[#This Row],[ACTION REQUIRED]]))
    ),
    "Y",
    "N"
)</f>
        <v>Y</v>
      </c>
      <c r="Y113" s="208"/>
      <c r="Z113" s="208"/>
    </row>
    <row r="114" spans="1:26" ht="152.25">
      <c r="A114" s="129" t="s">
        <v>294</v>
      </c>
      <c r="B114" s="210" t="s">
        <v>314</v>
      </c>
      <c r="C114" s="152" t="s">
        <v>95</v>
      </c>
      <c r="D114" s="144" t="s">
        <v>82</v>
      </c>
      <c r="E114" s="260" t="s">
        <v>315</v>
      </c>
      <c r="F114" s="276" t="s">
        <v>316</v>
      </c>
      <c r="G114" s="288" t="s">
        <v>77</v>
      </c>
      <c r="H114" s="93">
        <v>46087</v>
      </c>
      <c r="I114" s="132" t="str" cm="1">
        <f t="array" ref="I114">IFERROR(_xlfn.TEXTJOIN(" / ", TRUE, IF(OWNER_LIST[Owner Name]=C_1[[#This Row],[OWNER NAME 1]], OWNER_LIST[Owner ORG], ""), IF(OWNER_LIST[Owner Name]=C_1[[#This Row],[OWNER NAME 2]], OWNER_LIST[Owner ORG], "")), "")</f>
        <v>SOMBP / RPN</v>
      </c>
      <c r="J114" s="83" t="s">
        <v>43</v>
      </c>
      <c r="K114" s="83" t="s">
        <v>32</v>
      </c>
      <c r="L114" s="83"/>
      <c r="M114" s="133"/>
      <c r="N114" s="207"/>
      <c r="O114" s="208"/>
      <c r="P114" s="208"/>
      <c r="Q114" s="229"/>
      <c r="R114" s="229" t="str">
        <f xml:space="preserve"> _xlfn.CONCAT(C_1[[#This Row],[ESCALATE]], "-",C_1[[#This Row],[Row_PM]])</f>
        <v>-</v>
      </c>
      <c r="S114" s="229" t="str">
        <f xml:space="preserve"> _xlfn.CONCAT(C_1[[#This Row],[ESCALATE]], "-",C_1[[#This Row],[Notify_PM]])</f>
        <v>--</v>
      </c>
      <c r="T114" s="229">
        <f>ROW()</f>
        <v>114</v>
      </c>
      <c r="U114" s="229" t="str">
        <f>IF(C_1[[#This Row],[OWNER NAME 1]] = "", "",
   IF(_xlfn.XLOOKUP(C_1[[#This Row],[OWNER NAME 1]],OWNER_LIST[Owner Name], OWNER_LIST[Email], "") = "", "",
      _xlfn.XLOOKUP(C_1[[#This Row],[OWNER NAME 1]], OWNER_LIST[Owner Name], OWNER_LIST[Email], "")))</f>
        <v>ce@erard.biz</v>
      </c>
      <c r="V114" s="229" t="str">
        <f>IF(C_1[[#This Row],[OWNER NAME 2]] = "", "",
   IF(_xlfn.XLOOKUP(C_1[[#This Row],[OWNER NAME 2]],OWNER_LIST[Owner Name], OWNER_LIST[Email], "") = "", "",
      _xlfn.XLOOKUP(C_1[[#This Row],[OWNER NAME 2]], OWNER_LIST[Owner Name], OWNER_LIST[Email], "")))</f>
        <v>hacir.degirmencioglu@rpn-sa.ch</v>
      </c>
      <c r="W114" s="229" t="str">
        <f t="shared" si="4"/>
        <v>C1</v>
      </c>
      <c r="X114" s="229" t="str">
        <f>IF(
    OR(
        AND(
            NOT(ISBLANK(C_1[[#This Row],[DESCRIPTION -  INFORMATION LOG]])),
            C_1[[#This Row],[DESCRIPTION -  INFORMATION LOG]] &lt;&gt; "DESCRIPTION -  INFORMATION LOG"
        ),
        NOT(ISBLANK(C_1[[#This Row],[ACTION REQUIRED]]))
    ),
    "Y",
    "N"
)</f>
        <v>Y</v>
      </c>
      <c r="Y114" s="208"/>
      <c r="Z114" s="208"/>
    </row>
    <row r="115" spans="1:26" ht="30.75">
      <c r="A115" s="129" t="s">
        <v>294</v>
      </c>
      <c r="B115" s="211" t="s">
        <v>317</v>
      </c>
      <c r="C115" s="152"/>
      <c r="D115" s="144"/>
      <c r="E115" s="129"/>
      <c r="F115" s="129" t="s">
        <v>318</v>
      </c>
      <c r="G115" s="288" t="s">
        <v>85</v>
      </c>
      <c r="H115" s="155">
        <v>46045</v>
      </c>
      <c r="I115" s="132" t="str" cm="1">
        <f t="array" ref="I115">IFERROR(_xlfn.TEXTJOIN(" / ", TRUE, IF(OWNER_LIST[Owner Name]=C_1[[#This Row],[OWNER NAME 1]], OWNER_LIST[Owner ORG], ""), IF(OWNER_LIST[Owner Name]=C_1[[#This Row],[OWNER NAME 2]], OWNER_LIST[Owner ORG], "")), "")</f>
        <v>SHP / SHP</v>
      </c>
      <c r="J115" s="143" t="s">
        <v>35</v>
      </c>
      <c r="K115" s="143" t="s">
        <v>40</v>
      </c>
      <c r="L115" s="143"/>
      <c r="M115" s="133"/>
      <c r="N115" s="207"/>
      <c r="O115" s="208"/>
      <c r="P115" s="208"/>
      <c r="Q115" s="229"/>
      <c r="R115" s="229" t="str">
        <f xml:space="preserve"> _xlfn.CONCAT(C_1[[#This Row],[ESCALATE]], "-",C_1[[#This Row],[Row_PM]])</f>
        <v>-</v>
      </c>
      <c r="S115" s="229" t="str">
        <f xml:space="preserve"> _xlfn.CONCAT(C_1[[#This Row],[ESCALATE]], "-",C_1[[#This Row],[Notify_PM]])</f>
        <v>--</v>
      </c>
      <c r="T115" s="229">
        <f>ROW()</f>
        <v>115</v>
      </c>
      <c r="U115" s="229" t="str">
        <f>IF(C_1[[#This Row],[OWNER NAME 1]] = "", "",
   IF(_xlfn.XLOOKUP(C_1[[#This Row],[OWNER NAME 1]],OWNER_LIST[Owner Name], OWNER_LIST[Email], "") = "", "",
      _xlfn.XLOOKUP(C_1[[#This Row],[OWNER NAME 1]], OWNER_LIST[Owner Name], OWNER_LIST[Email], "")))</f>
        <v>zeynep.onen@un.org</v>
      </c>
      <c r="V115" s="229" t="str">
        <f>IF(C_1[[#This Row],[OWNER NAME 2]] = "", "",
   IF(_xlfn.XLOOKUP(C_1[[#This Row],[OWNER NAME 2]],OWNER_LIST[Owner Name], OWNER_LIST[Email], "") = "", "",
      _xlfn.XLOOKUP(C_1[[#This Row],[OWNER NAME 2]], OWNER_LIST[Owner Name], OWNER_LIST[Email], "")))</f>
        <v>jean.ferre@un.org</v>
      </c>
      <c r="W115" s="229" t="str">
        <f t="shared" si="4"/>
        <v>C1</v>
      </c>
      <c r="X115" s="229" t="str">
        <f>IF(
    OR(
        AND(
            NOT(ISBLANK(C_1[[#This Row],[DESCRIPTION -  INFORMATION LOG]])),
            C_1[[#This Row],[DESCRIPTION -  INFORMATION LOG]] &lt;&gt; "DESCRIPTION -  INFORMATION LOG"
        ),
        NOT(ISBLANK(C_1[[#This Row],[ACTION REQUIRED]]))
    ),
    "Y",
    "N"
)</f>
        <v>Y</v>
      </c>
      <c r="Y115" s="208"/>
      <c r="Z115" s="208"/>
    </row>
    <row r="116" spans="1:26" ht="30.75">
      <c r="A116" s="129" t="s">
        <v>294</v>
      </c>
      <c r="B116" s="211" t="s">
        <v>319</v>
      </c>
      <c r="C116" s="152"/>
      <c r="D116" s="144"/>
      <c r="E116" s="129"/>
      <c r="F116" s="129" t="s">
        <v>318</v>
      </c>
      <c r="G116" s="288" t="s">
        <v>85</v>
      </c>
      <c r="H116" s="155">
        <v>46045</v>
      </c>
      <c r="I116" s="132" t="str" cm="1">
        <f t="array" ref="I116">IFERROR(_xlfn.TEXTJOIN(" / ", TRUE, IF(OWNER_LIST[Owner Name]=C_1[[#This Row],[OWNER NAME 1]], OWNER_LIST[Owner ORG], ""), IF(OWNER_LIST[Owner Name]=C_1[[#This Row],[OWNER NAME 2]], OWNER_LIST[Owner ORG], "")), "")</f>
        <v>SHP / SHP</v>
      </c>
      <c r="J116" s="143" t="s">
        <v>40</v>
      </c>
      <c r="K116" s="143" t="s">
        <v>320</v>
      </c>
      <c r="L116" s="143"/>
      <c r="M116" s="133"/>
      <c r="N116" s="207"/>
      <c r="O116" s="208"/>
      <c r="P116" s="208"/>
      <c r="Q116" s="229"/>
      <c r="R116" s="229" t="str">
        <f xml:space="preserve"> _xlfn.CONCAT(C_1[[#This Row],[ESCALATE]], "-",C_1[[#This Row],[Row_PM]])</f>
        <v>-</v>
      </c>
      <c r="S116" s="229" t="str">
        <f xml:space="preserve"> _xlfn.CONCAT(C_1[[#This Row],[ESCALATE]], "-",C_1[[#This Row],[Notify_PM]])</f>
        <v>--</v>
      </c>
      <c r="T116" s="229">
        <f>ROW()</f>
        <v>116</v>
      </c>
      <c r="U116" s="229" t="str">
        <f>IF(C_1[[#This Row],[OWNER NAME 1]] = "", "",
   IF(_xlfn.XLOOKUP(C_1[[#This Row],[OWNER NAME 1]],OWNER_LIST[Owner Name], OWNER_LIST[Email], "") = "", "",
      _xlfn.XLOOKUP(C_1[[#This Row],[OWNER NAME 1]], OWNER_LIST[Owner Name], OWNER_LIST[Email], "")))</f>
        <v>jean.ferre@un.org</v>
      </c>
      <c r="V116" s="229" t="str">
        <f>IF(C_1[[#This Row],[OWNER NAME 2]] = "", "",
   IF(_xlfn.XLOOKUP(C_1[[#This Row],[OWNER NAME 2]],OWNER_LIST[Owner Name], OWNER_LIST[Email], "") = "", "",
      _xlfn.XLOOKUP(C_1[[#This Row],[OWNER NAME 2]], OWNER_LIST[Owner Name], OWNER_LIST[Email], "")))</f>
        <v>samuel.wilson@un.org</v>
      </c>
      <c r="W116" s="229" t="str">
        <f t="shared" si="4"/>
        <v>C1</v>
      </c>
      <c r="X116" s="229" t="str">
        <f>IF(
    OR(
        AND(
            NOT(ISBLANK(C_1[[#This Row],[DESCRIPTION -  INFORMATION LOG]])),
            C_1[[#This Row],[DESCRIPTION -  INFORMATION LOG]] &lt;&gt; "DESCRIPTION -  INFORMATION LOG"
        ),
        NOT(ISBLANK(C_1[[#This Row],[ACTION REQUIRED]]))
    ),
    "Y",
    "N"
)</f>
        <v>Y</v>
      </c>
      <c r="Y116" s="208"/>
      <c r="Z116" s="208"/>
    </row>
    <row r="117" spans="1:26" ht="45.75">
      <c r="A117" s="129" t="s">
        <v>294</v>
      </c>
      <c r="B117" s="211" t="s">
        <v>321</v>
      </c>
      <c r="C117" s="152" t="s">
        <v>95</v>
      </c>
      <c r="D117" s="147" t="s">
        <v>82</v>
      </c>
      <c r="E117" s="129" t="s">
        <v>322</v>
      </c>
      <c r="F117" s="147" t="s">
        <v>323</v>
      </c>
      <c r="G117" s="288" t="s">
        <v>85</v>
      </c>
      <c r="H117" s="155">
        <v>46036</v>
      </c>
      <c r="I117" s="132" t="str" cm="1">
        <f t="array" ref="I117">IFERROR(_xlfn.TEXTJOIN(" / ", TRUE, IF(OWNER_LIST[Owner Name]=C_1[[#This Row],[OWNER NAME 1]], OWNER_LIST[Owner ORG], ""), IF(OWNER_LIST[Owner Name]=C_1[[#This Row],[OWNER NAME 2]], OWNER_LIST[Owner ORG], "")), "")</f>
        <v>RPN / RPN</v>
      </c>
      <c r="J117" s="143" t="s">
        <v>25</v>
      </c>
      <c r="K117" s="143" t="s">
        <v>27</v>
      </c>
      <c r="L117" s="143"/>
      <c r="M117" s="133"/>
      <c r="N117" s="207"/>
      <c r="O117" s="208"/>
      <c r="P117" s="127"/>
      <c r="Q117" s="229"/>
      <c r="R117" s="229" t="str">
        <f xml:space="preserve"> _xlfn.CONCAT(C_1[[#This Row],[ESCALATE]], "-",C_1[[#This Row],[Row_PM]])</f>
        <v>-</v>
      </c>
      <c r="S117" s="229" t="str">
        <f xml:space="preserve"> _xlfn.CONCAT(C_1[[#This Row],[ESCALATE]], "-",C_1[[#This Row],[Notify_PM]])</f>
        <v>--</v>
      </c>
      <c r="T117" s="230">
        <f>ROW()</f>
        <v>117</v>
      </c>
      <c r="U117" s="231" t="str">
        <f>IF(C_1[[#This Row],[OWNER NAME 1]] = "", "",
   IF(_xlfn.XLOOKUP(C_1[[#This Row],[OWNER NAME 1]],OWNER_LIST[Owner Name], OWNER_LIST[Email], "") = "", "",
      _xlfn.XLOOKUP(C_1[[#This Row],[OWNER NAME 1]], OWNER_LIST[Owner Name], OWNER_LIST[Email], "")))</f>
        <v>matteo.naldi@cmbcarpi.it</v>
      </c>
      <c r="V117" s="231" t="str">
        <f>IF(C_1[[#This Row],[OWNER NAME 2]] = "", "",
   IF(_xlfn.XLOOKUP(C_1[[#This Row],[OWNER NAME 2]],OWNER_LIST[Owner Name], OWNER_LIST[Email], "") = "", "",
      _xlfn.XLOOKUP(C_1[[#This Row],[OWNER NAME 2]], OWNER_LIST[Owner Name], OWNER_LIST[Email], "")))</f>
        <v>jessica.donatelli@cmbcarpi.it</v>
      </c>
      <c r="W117" s="230" t="str">
        <f t="shared" si="4"/>
        <v>C1</v>
      </c>
      <c r="X117" s="232" t="str">
        <f>IF(
    OR(
        AND(
            NOT(ISBLANK(C_1[[#This Row],[DESCRIPTION -  INFORMATION LOG]])),
            C_1[[#This Row],[DESCRIPTION -  INFORMATION LOG]] &lt;&gt; "DESCRIPTION -  INFORMATION LOG"
        ),
        NOT(ISBLANK(C_1[[#This Row],[ACTION REQUIRED]]))
    ),
    "Y",
    "N"
)</f>
        <v>Y</v>
      </c>
      <c r="Y117" s="208"/>
      <c r="Z117" s="208"/>
    </row>
    <row r="118" spans="1:26" ht="45.75">
      <c r="A118" s="129" t="s">
        <v>324</v>
      </c>
      <c r="B118" s="213" t="s">
        <v>325</v>
      </c>
      <c r="C118" s="152" t="s">
        <v>95</v>
      </c>
      <c r="D118" s="147" t="s">
        <v>82</v>
      </c>
      <c r="E118" s="290" t="s">
        <v>326</v>
      </c>
      <c r="F118" s="265" t="s">
        <v>327</v>
      </c>
      <c r="G118" s="284" t="s">
        <v>77</v>
      </c>
      <c r="H118" s="155">
        <v>46094</v>
      </c>
      <c r="I118" s="132" t="str" cm="1">
        <f t="array" ref="I118">IFERROR(_xlfn.TEXTJOIN(" / ", TRUE, IF(OWNER_LIST[Owner Name]=C_1[[#This Row],[OWNER NAME 1]], OWNER_LIST[Owner ORG], ""), IF(OWNER_LIST[Owner Name]=C_1[[#This Row],[OWNER NAME 2]], OWNER_LIST[Owner ORG], "")), "")</f>
        <v>RPN</v>
      </c>
      <c r="J118" s="143" t="s">
        <v>27</v>
      </c>
      <c r="K118" s="143"/>
      <c r="L118" s="208"/>
      <c r="M118" s="207"/>
      <c r="N118" s="207"/>
      <c r="O118" s="208"/>
      <c r="P118" s="208"/>
      <c r="Q118" s="229"/>
      <c r="R118" s="229"/>
      <c r="S118" s="229"/>
      <c r="T118" s="229"/>
      <c r="U118" s="229"/>
      <c r="V118" s="229"/>
      <c r="W118" s="229"/>
      <c r="X118" s="229" t="str">
        <f>IF(
    OR(
        AND(
            NOT(ISBLANK(C_1[[#This Row],[DESCRIPTION -  INFORMATION LOG]])),
            C_1[[#This Row],[DESCRIPTION -  INFORMATION LOG]] &lt;&gt; "DESCRIPTION -  INFORMATION LOG"
        ),
        NOT(ISBLANK(C_1[[#This Row],[ACTION REQUIRED]]))
    ),
    "Y",
    "N"
)</f>
        <v>Y</v>
      </c>
      <c r="Y118" s="208"/>
      <c r="Z118" s="208"/>
    </row>
    <row r="119" spans="1:26" ht="45.75">
      <c r="A119" s="129" t="s">
        <v>324</v>
      </c>
      <c r="B119" s="213" t="s">
        <v>328</v>
      </c>
      <c r="C119" s="152" t="s">
        <v>95</v>
      </c>
      <c r="D119" s="147" t="s">
        <v>82</v>
      </c>
      <c r="E119" s="259" t="s">
        <v>329</v>
      </c>
      <c r="F119" s="291" t="s">
        <v>330</v>
      </c>
      <c r="G119" s="284" t="s">
        <v>77</v>
      </c>
      <c r="H119" s="155">
        <v>46094</v>
      </c>
      <c r="I119" s="132" t="str" cm="1">
        <f t="array" ref="I119">IFERROR(_xlfn.TEXTJOIN(" / ", TRUE, IF(OWNER_LIST[Owner Name]=C_1[[#This Row],[OWNER NAME 1]], OWNER_LIST[Owner ORG], ""), IF(OWNER_LIST[Owner Name]=C_1[[#This Row],[OWNER NAME 2]], OWNER_LIST[Owner ORG], "")), "")</f>
        <v>RPN</v>
      </c>
      <c r="J119" s="143" t="s">
        <v>27</v>
      </c>
      <c r="K119" s="143"/>
      <c r="L119" s="267"/>
      <c r="M119" s="312"/>
      <c r="N119" s="312"/>
      <c r="O119" s="313"/>
      <c r="P119" s="313"/>
      <c r="Q119" s="229"/>
      <c r="R119" s="229" t="str">
        <f xml:space="preserve"> _xlfn.CONCAT(C_1[[#This Row],[ESCALATE]], "-",C_1[[#This Row],[Row_PM]])</f>
        <v>-</v>
      </c>
      <c r="S119" s="229" t="str">
        <f xml:space="preserve"> _xlfn.CONCAT(C_1[[#This Row],[ESCALATE]], "-",C_1[[#This Row],[Notify_PM]])</f>
        <v>--</v>
      </c>
      <c r="T119" s="229">
        <f>ROW()</f>
        <v>119</v>
      </c>
      <c r="U119" s="229" t="str">
        <f>IF(C_1[[#This Row],[OWNER NAME 1]] = "", "",
   IF(_xlfn.XLOOKUP(C_1[[#This Row],[OWNER NAME 1]],OWNER_LIST[Owner Name], OWNER_LIST[Email], "") = "", "",
      _xlfn.XLOOKUP(C_1[[#This Row],[OWNER NAME 1]], OWNER_LIST[Owner Name], OWNER_LIST[Email], "")))</f>
        <v>jessica.donatelli@cmbcarpi.it</v>
      </c>
      <c r="V119" s="229" t="str">
        <f>IF(C_1[[#This Row],[OWNER NAME 2]] = "", "",
   IF(_xlfn.XLOOKUP(C_1[[#This Row],[OWNER NAME 2]],OWNER_LIST[Owner Name], OWNER_LIST[Email], "") = "", "",
      _xlfn.XLOOKUP(C_1[[#This Row],[OWNER NAME 2]], OWNER_LIST[Owner Name], OWNER_LIST[Email], "")))</f>
        <v/>
      </c>
      <c r="W119" s="229" t="str">
        <f>$A$37</f>
        <v>C1</v>
      </c>
      <c r="X119" s="229" t="str">
        <f>IF(
    OR(
        AND(
            NOT(ISBLANK(C_1[[#This Row],[DESCRIPTION -  INFORMATION LOG]])),
            C_1[[#This Row],[DESCRIPTION -  INFORMATION LOG]] &lt;&gt; "DESCRIPTION -  INFORMATION LOG"
        ),
        NOT(ISBLANK(C_1[[#This Row],[ACTION REQUIRED]]))
    ),
    "Y",
    "N"
)</f>
        <v>Y</v>
      </c>
      <c r="Y119" s="208"/>
      <c r="Z119" s="208"/>
    </row>
    <row r="120" spans="1:26" ht="30.75">
      <c r="A120" s="129" t="s">
        <v>324</v>
      </c>
      <c r="B120" s="213" t="s">
        <v>331</v>
      </c>
      <c r="C120" s="152" t="s">
        <v>95</v>
      </c>
      <c r="D120" s="147" t="s">
        <v>82</v>
      </c>
      <c r="E120" s="129"/>
      <c r="F120" s="265" t="s">
        <v>332</v>
      </c>
      <c r="G120" s="284" t="s">
        <v>77</v>
      </c>
      <c r="H120" s="155">
        <v>46094</v>
      </c>
      <c r="I120" s="132" t="str" cm="1">
        <f t="array" ref="I120">IFERROR(_xlfn.TEXTJOIN(" / ", TRUE, IF(OWNER_LIST[Owner Name]=C_1[[#This Row],[OWNER NAME 1]], OWNER_LIST[Owner ORG], ""), IF(OWNER_LIST[Owner Name]=C_1[[#This Row],[OWNER NAME 2]], OWNER_LIST[Owner ORG], "")), "")</f>
        <v>SHP</v>
      </c>
      <c r="J120" s="266" t="s">
        <v>40</v>
      </c>
      <c r="K120" s="143"/>
      <c r="L120" s="267"/>
      <c r="M120" s="312"/>
      <c r="N120" s="312"/>
      <c r="O120" s="313"/>
      <c r="P120" s="313"/>
      <c r="Q120" s="229"/>
      <c r="R120" s="229"/>
      <c r="S120" s="229"/>
      <c r="T120" s="229"/>
      <c r="U120" s="229"/>
      <c r="V120" s="229"/>
      <c r="W120" s="229"/>
      <c r="X120" s="229"/>
      <c r="Y120" s="208"/>
      <c r="Z120" s="208"/>
    </row>
    <row r="121" spans="1:26">
      <c r="A121" s="129"/>
      <c r="B121" s="292"/>
      <c r="C121" s="152"/>
      <c r="D121" s="147"/>
      <c r="E121" s="129"/>
      <c r="F121" s="209"/>
      <c r="G121" s="153"/>
      <c r="H121" s="93"/>
      <c r="I121" s="132"/>
      <c r="J121" s="83"/>
      <c r="K121" s="83"/>
      <c r="L121" s="83"/>
      <c r="M121" s="133"/>
      <c r="N121" s="207"/>
      <c r="O121" s="208"/>
      <c r="P121" s="208"/>
      <c r="Q121" s="229"/>
      <c r="R121" s="229"/>
      <c r="S121" s="229"/>
      <c r="T121" s="230"/>
      <c r="U121" s="231"/>
      <c r="V121" s="231"/>
      <c r="W121" s="230"/>
      <c r="X121" s="232"/>
      <c r="Y121" s="208"/>
      <c r="Z121" s="208"/>
    </row>
    <row r="122" spans="1:26">
      <c r="A122" s="129"/>
      <c r="B122" s="209"/>
      <c r="C122" s="152"/>
      <c r="D122" s="144"/>
      <c r="E122" s="209"/>
      <c r="F122" s="209"/>
      <c r="G122" s="153"/>
      <c r="H122" s="93"/>
      <c r="I122" s="132"/>
      <c r="J122" s="83"/>
      <c r="K122" s="83"/>
      <c r="L122" s="83"/>
      <c r="M122" s="133"/>
      <c r="N122" s="207"/>
      <c r="O122" s="208"/>
      <c r="P122" s="208"/>
      <c r="Q122" s="229"/>
      <c r="R122" s="229" t="str">
        <f xml:space="preserve"> _xlfn.CONCAT(C_1[[#This Row],[ESCALATE]], "-",C_1[[#This Row],[Row_PM]])</f>
        <v>-</v>
      </c>
      <c r="S122" s="229" t="str">
        <f xml:space="preserve"> _xlfn.CONCAT(C_1[[#This Row],[ESCALATE]], "-",C_1[[#This Row],[Notify_PM]])</f>
        <v>--</v>
      </c>
      <c r="T122" s="230">
        <f>ROW()</f>
        <v>122</v>
      </c>
      <c r="U122" s="231" t="str">
        <f>IF(C_1[[#This Row],[OWNER NAME 1]] = "", "",
   IF(_xlfn.XLOOKUP(C_1[[#This Row],[OWNER NAME 1]],OWNER_LIST[Owner Name], OWNER_LIST[Email], "") = "", "",
      _xlfn.XLOOKUP(C_1[[#This Row],[OWNER NAME 1]], OWNER_LIST[Owner Name], OWNER_LIST[Email], "")))</f>
        <v/>
      </c>
      <c r="V122" s="231" t="str">
        <f>IF(C_1[[#This Row],[OWNER NAME 2]] = "", "",
   IF(_xlfn.XLOOKUP(C_1[[#This Row],[OWNER NAME 2]],OWNER_LIST[Owner Name], OWNER_LIST[Email], "") = "", "",
      _xlfn.XLOOKUP(C_1[[#This Row],[OWNER NAME 2]], OWNER_LIST[Owner Name], OWNER_LIST[Email], "")))</f>
        <v/>
      </c>
      <c r="W122" s="230" t="str">
        <f>$A$37</f>
        <v>C1</v>
      </c>
      <c r="X122" s="232" t="str">
        <f>IF(
    OR(
        AND(
            NOT(ISBLANK(C_1[[#This Row],[DESCRIPTION -  INFORMATION LOG]])),
            C_1[[#This Row],[DESCRIPTION -  INFORMATION LOG]] &lt;&gt; "DESCRIPTION -  INFORMATION LOG"
        ),
        NOT(ISBLANK(C_1[[#This Row],[ACTION REQUIRED]]))
    ),
    "Y",
    "N"
)</f>
        <v>N</v>
      </c>
      <c r="Y122" s="208"/>
      <c r="Z122" s="208"/>
    </row>
    <row r="123" spans="1:26">
      <c r="A123" s="64" t="s">
        <v>333</v>
      </c>
      <c r="B123" s="65" t="s">
        <v>334</v>
      </c>
      <c r="C123" s="65"/>
      <c r="D123" s="64"/>
      <c r="E123" s="65"/>
      <c r="F123" s="64"/>
      <c r="G123" s="66"/>
      <c r="H123" s="67"/>
      <c r="I123" s="66"/>
      <c r="J123" s="64"/>
      <c r="K123" s="64"/>
      <c r="L123" s="64"/>
      <c r="M123" s="67"/>
      <c r="N123" s="67"/>
      <c r="O123" s="64"/>
      <c r="P123" s="64"/>
      <c r="Q123" s="235"/>
      <c r="R123" s="235"/>
      <c r="S123" s="235"/>
      <c r="T123" s="236"/>
      <c r="U123" s="237"/>
      <c r="V123" s="237"/>
      <c r="W123" s="236"/>
      <c r="X123" s="228" t="str">
        <f>IF(
    OR(
        AND(
            NOT(ISBLANK(C_1[[#This Row],[DESCRIPTION -  INFORMATION LOG]])),
            C_1[[#This Row],[DESCRIPTION -  INFORMATION LOG]] &lt;&gt; "DESCRIPTION -  INFORMATION LOG"
        ),
        NOT(ISBLANK(C_1[[#This Row],[ACTION REQUIRED]]))
    ),
    "Y",
    "N"
)</f>
        <v>N</v>
      </c>
      <c r="Y123" s="208"/>
      <c r="Z123" s="208"/>
    </row>
    <row r="124" spans="1:26" ht="152.25">
      <c r="A124" s="129" t="s">
        <v>335</v>
      </c>
      <c r="B124" s="211" t="s">
        <v>336</v>
      </c>
      <c r="C124" s="129" t="s">
        <v>81</v>
      </c>
      <c r="D124" s="144" t="s">
        <v>82</v>
      </c>
      <c r="E124" s="129" t="s">
        <v>337</v>
      </c>
      <c r="F124" s="129" t="s">
        <v>338</v>
      </c>
      <c r="G124" s="195"/>
      <c r="H124" s="93"/>
      <c r="I124" s="132"/>
      <c r="J124" s="83"/>
      <c r="K124" s="83"/>
      <c r="L124" s="83"/>
      <c r="M124" s="133"/>
      <c r="N124" s="207"/>
      <c r="O124" s="208"/>
      <c r="P124" s="208"/>
      <c r="Q124" s="229"/>
      <c r="R124" s="229" t="str">
        <f xml:space="preserve"> _xlfn.CONCAT(C_1[[#This Row],[ESCALATE]], "-",C_1[[#This Row],[Row_PM]])</f>
        <v>-</v>
      </c>
      <c r="S124" s="229" t="str">
        <f xml:space="preserve"> _xlfn.CONCAT(C_1[[#This Row],[ESCALATE]], "-",C_1[[#This Row],[Notify_PM]])</f>
        <v>--</v>
      </c>
      <c r="T124" s="229">
        <f>ROW()</f>
        <v>124</v>
      </c>
      <c r="U124" s="229" t="str">
        <f>IF(C_1[[#This Row],[OWNER NAME 1]] = "", "",
   IF(_xlfn.XLOOKUP(C_1[[#This Row],[OWNER NAME 1]],OWNER_LIST[Owner Name], OWNER_LIST[Email], "") = "", "",
      _xlfn.XLOOKUP(C_1[[#This Row],[OWNER NAME 1]], OWNER_LIST[Owner Name], OWNER_LIST[Email], "")))</f>
        <v/>
      </c>
      <c r="V124" s="229" t="str">
        <f>IF(C_1[[#This Row],[OWNER NAME 2]] = "", "",
   IF(_xlfn.XLOOKUP(C_1[[#This Row],[OWNER NAME 2]],OWNER_LIST[Owner Name], OWNER_LIST[Email], "") = "", "",
      _xlfn.XLOOKUP(C_1[[#This Row],[OWNER NAME 2]], OWNER_LIST[Owner Name], OWNER_LIST[Email], "")))</f>
        <v/>
      </c>
      <c r="W124" s="229" t="str">
        <f t="shared" ref="W124:W131" si="6">$A$37</f>
        <v>C1</v>
      </c>
      <c r="X124" s="229" t="str">
        <f>IF(
    OR(
        AND(
            NOT(ISBLANK(C_1[[#This Row],[DESCRIPTION -  INFORMATION LOG]])),
            C_1[[#This Row],[DESCRIPTION -  INFORMATION LOG]] &lt;&gt; "DESCRIPTION -  INFORMATION LOG"
        ),
        NOT(ISBLANK(C_1[[#This Row],[ACTION REQUIRED]]))
    ),
    "Y",
    "N"
)</f>
        <v>Y</v>
      </c>
      <c r="Y124" s="208"/>
      <c r="Z124" s="208"/>
    </row>
    <row r="125" spans="1:26">
      <c r="A125" s="129"/>
      <c r="B125" s="211" t="s">
        <v>339</v>
      </c>
      <c r="C125" s="129"/>
      <c r="D125" s="144"/>
      <c r="E125" s="129"/>
      <c r="F125" s="129" t="s">
        <v>340</v>
      </c>
      <c r="G125" s="195"/>
      <c r="H125" s="93"/>
      <c r="I125" s="196"/>
      <c r="J125" s="83"/>
      <c r="K125" s="83"/>
      <c r="L125" s="83"/>
      <c r="M125" s="133"/>
      <c r="N125" s="207"/>
      <c r="O125" s="208"/>
      <c r="P125" s="208"/>
      <c r="Q125" s="229"/>
      <c r="R125" s="229" t="str">
        <f xml:space="preserve"> _xlfn.CONCAT(C_1[[#This Row],[ESCALATE]], "-",C_1[[#This Row],[Row_PM]])</f>
        <v>-</v>
      </c>
      <c r="S125" s="229" t="str">
        <f xml:space="preserve"> _xlfn.CONCAT(C_1[[#This Row],[ESCALATE]], "-",C_1[[#This Row],[Notify_PM]])</f>
        <v>--</v>
      </c>
      <c r="T125" s="229">
        <f>ROW()</f>
        <v>125</v>
      </c>
      <c r="U125" s="229" t="str">
        <f>IF(C_1[[#This Row],[OWNER NAME 1]] = "", "",
   IF(_xlfn.XLOOKUP(C_1[[#This Row],[OWNER NAME 1]],OWNER_LIST[Owner Name], OWNER_LIST[Email], "") = "", "",
      _xlfn.XLOOKUP(C_1[[#This Row],[OWNER NAME 1]], OWNER_LIST[Owner Name], OWNER_LIST[Email], "")))</f>
        <v/>
      </c>
      <c r="V125" s="229" t="str">
        <f>IF(C_1[[#This Row],[OWNER NAME 2]] = "", "",
   IF(_xlfn.XLOOKUP(C_1[[#This Row],[OWNER NAME 2]],OWNER_LIST[Owner Name], OWNER_LIST[Email], "") = "", "",
      _xlfn.XLOOKUP(C_1[[#This Row],[OWNER NAME 2]], OWNER_LIST[Owner Name], OWNER_LIST[Email], "")))</f>
        <v/>
      </c>
      <c r="W125" s="229" t="str">
        <f t="shared" si="6"/>
        <v>C1</v>
      </c>
      <c r="X125" s="229" t="str">
        <f>IF(
    OR(
        AND(
            NOT(ISBLANK(C_1[[#This Row],[DESCRIPTION -  INFORMATION LOG]])),
            C_1[[#This Row],[DESCRIPTION -  INFORMATION LOG]] &lt;&gt; "DESCRIPTION -  INFORMATION LOG"
        ),
        NOT(ISBLANK(C_1[[#This Row],[ACTION REQUIRED]]))
    ),
    "Y",
    "N"
)</f>
        <v>Y</v>
      </c>
      <c r="Y125" s="208"/>
      <c r="Z125" s="208"/>
    </row>
    <row r="126" spans="1:26" ht="30.75">
      <c r="A126" s="129" t="s">
        <v>341</v>
      </c>
      <c r="B126" s="211" t="s">
        <v>342</v>
      </c>
      <c r="C126" s="129" t="s">
        <v>81</v>
      </c>
      <c r="D126" s="144" t="s">
        <v>74</v>
      </c>
      <c r="E126" s="129"/>
      <c r="F126" s="129" t="s">
        <v>343</v>
      </c>
      <c r="G126" s="195" t="s">
        <v>90</v>
      </c>
      <c r="H126" s="93"/>
      <c r="I126" s="132"/>
      <c r="J126" s="83"/>
      <c r="K126" s="83"/>
      <c r="L126" s="83"/>
      <c r="M126" s="133"/>
      <c r="N126" s="207"/>
      <c r="O126" s="208"/>
      <c r="P126" s="208"/>
      <c r="Q126" s="229"/>
      <c r="R126" s="229" t="str">
        <f xml:space="preserve"> _xlfn.CONCAT(C_1[[#This Row],[ESCALATE]], "-",C_1[[#This Row],[Row_PM]])</f>
        <v>-</v>
      </c>
      <c r="S126" s="229" t="str">
        <f xml:space="preserve"> _xlfn.CONCAT(C_1[[#This Row],[ESCALATE]], "-",C_1[[#This Row],[Notify_PM]])</f>
        <v>--</v>
      </c>
      <c r="T126" s="229">
        <f>ROW()</f>
        <v>126</v>
      </c>
      <c r="U126" s="229" t="str">
        <f>IF(C_1[[#This Row],[OWNER NAME 1]] = "", "",
   IF(_xlfn.XLOOKUP(C_1[[#This Row],[OWNER NAME 1]],OWNER_LIST[Owner Name], OWNER_LIST[Email], "") = "", "",
      _xlfn.XLOOKUP(C_1[[#This Row],[OWNER NAME 1]], OWNER_LIST[Owner Name], OWNER_LIST[Email], "")))</f>
        <v/>
      </c>
      <c r="V126" s="229" t="str">
        <f>IF(C_1[[#This Row],[OWNER NAME 2]] = "", "",
   IF(_xlfn.XLOOKUP(C_1[[#This Row],[OWNER NAME 2]],OWNER_LIST[Owner Name], OWNER_LIST[Email], "") = "", "",
      _xlfn.XLOOKUP(C_1[[#This Row],[OWNER NAME 2]], OWNER_LIST[Owner Name], OWNER_LIST[Email], "")))</f>
        <v/>
      </c>
      <c r="W126" s="229" t="str">
        <f t="shared" si="6"/>
        <v>C1</v>
      </c>
      <c r="X126" s="229" t="str">
        <f>IF(
    OR(
        AND(
            NOT(ISBLANK(C_1[[#This Row],[DESCRIPTION -  INFORMATION LOG]])),
            C_1[[#This Row],[DESCRIPTION -  INFORMATION LOG]] &lt;&gt; "DESCRIPTION -  INFORMATION LOG"
        ),
        NOT(ISBLANK(C_1[[#This Row],[ACTION REQUIRED]]))
    ),
    "Y",
    "N"
)</f>
        <v>Y</v>
      </c>
      <c r="Y126" s="208"/>
      <c r="Z126" s="208"/>
    </row>
    <row r="127" spans="1:26" ht="76.5">
      <c r="A127" s="129" t="s">
        <v>341</v>
      </c>
      <c r="B127" s="211" t="s">
        <v>344</v>
      </c>
      <c r="C127" s="129" t="s">
        <v>81</v>
      </c>
      <c r="D127" s="144" t="s">
        <v>74</v>
      </c>
      <c r="E127" s="311" t="s">
        <v>345</v>
      </c>
      <c r="F127" s="309" t="s">
        <v>346</v>
      </c>
      <c r="G127" s="195" t="s">
        <v>90</v>
      </c>
      <c r="H127" s="93"/>
      <c r="I127" s="132"/>
      <c r="J127" s="83"/>
      <c r="K127" s="83"/>
      <c r="L127" s="83"/>
      <c r="M127" s="133"/>
      <c r="N127" s="207"/>
      <c r="O127" s="208"/>
      <c r="P127" s="208"/>
      <c r="Q127" s="229"/>
      <c r="R127" s="229" t="str">
        <f xml:space="preserve"> _xlfn.CONCAT(C_1[[#This Row],[ESCALATE]], "-",C_1[[#This Row],[Row_PM]])</f>
        <v>-</v>
      </c>
      <c r="S127" s="229" t="str">
        <f xml:space="preserve"> _xlfn.CONCAT(C_1[[#This Row],[ESCALATE]], "-",C_1[[#This Row],[Notify_PM]])</f>
        <v>--</v>
      </c>
      <c r="T127" s="229">
        <f>ROW()</f>
        <v>127</v>
      </c>
      <c r="U127" s="229" t="str">
        <f>IF(C_1[[#This Row],[OWNER NAME 1]] = "", "",
   IF(_xlfn.XLOOKUP(C_1[[#This Row],[OWNER NAME 1]],OWNER_LIST[Owner Name], OWNER_LIST[Email], "") = "", "",
      _xlfn.XLOOKUP(C_1[[#This Row],[OWNER NAME 1]], OWNER_LIST[Owner Name], OWNER_LIST[Email], "")))</f>
        <v/>
      </c>
      <c r="V127" s="229" t="str">
        <f>IF(C_1[[#This Row],[OWNER NAME 2]] = "", "",
   IF(_xlfn.XLOOKUP(C_1[[#This Row],[OWNER NAME 2]],OWNER_LIST[Owner Name], OWNER_LIST[Email], "") = "", "",
      _xlfn.XLOOKUP(C_1[[#This Row],[OWNER NAME 2]], OWNER_LIST[Owner Name], OWNER_LIST[Email], "")))</f>
        <v/>
      </c>
      <c r="W127" s="229" t="str">
        <f t="shared" si="6"/>
        <v>C1</v>
      </c>
      <c r="X127" s="229" t="str">
        <f>IF(
    OR(
        AND(
            NOT(ISBLANK(C_1[[#This Row],[DESCRIPTION -  INFORMATION LOG]])),
            C_1[[#This Row],[DESCRIPTION -  INFORMATION LOG]] &lt;&gt; "DESCRIPTION -  INFORMATION LOG"
        ),
        NOT(ISBLANK(C_1[[#This Row],[ACTION REQUIRED]]))
    ),
    "Y",
    "N"
)</f>
        <v>Y</v>
      </c>
      <c r="Y127" s="208"/>
      <c r="Z127" s="208"/>
    </row>
    <row r="128" spans="1:26" ht="76.5">
      <c r="A128" s="129" t="s">
        <v>341</v>
      </c>
      <c r="B128" s="211" t="s">
        <v>347</v>
      </c>
      <c r="C128" s="167" t="s">
        <v>81</v>
      </c>
      <c r="D128" s="144" t="s">
        <v>82</v>
      </c>
      <c r="E128" s="260" t="s">
        <v>348</v>
      </c>
      <c r="F128" s="311" t="s">
        <v>349</v>
      </c>
      <c r="G128" s="195" t="s">
        <v>90</v>
      </c>
      <c r="H128" s="93"/>
      <c r="I128" s="132"/>
      <c r="J128" s="262"/>
      <c r="K128" s="262"/>
      <c r="L128" s="262"/>
      <c r="M128" s="263"/>
      <c r="N128" s="312"/>
      <c r="O128" s="313"/>
      <c r="P128" s="313"/>
      <c r="Q128" s="229"/>
      <c r="R128" s="229" t="str">
        <f xml:space="preserve"> _xlfn.CONCAT(C_1[[#This Row],[ESCALATE]], "-",C_1[[#This Row],[Row_PM]])</f>
        <v>-</v>
      </c>
      <c r="S128" s="229" t="str">
        <f xml:space="preserve"> _xlfn.CONCAT(C_1[[#This Row],[ESCALATE]], "-",C_1[[#This Row],[Notify_PM]])</f>
        <v>--</v>
      </c>
      <c r="T128" s="229">
        <f>ROW()</f>
        <v>128</v>
      </c>
      <c r="U128" s="229" t="str">
        <f>IF(C_1[[#This Row],[OWNER NAME 1]] = "", "",
   IF(_xlfn.XLOOKUP(C_1[[#This Row],[OWNER NAME 1]],OWNER_LIST[Owner Name], OWNER_LIST[Email], "") = "", "",
      _xlfn.XLOOKUP(C_1[[#This Row],[OWNER NAME 1]], OWNER_LIST[Owner Name], OWNER_LIST[Email], "")))</f>
        <v/>
      </c>
      <c r="V128" s="229" t="str">
        <f>IF(C_1[[#This Row],[OWNER NAME 2]] = "", "",
   IF(_xlfn.XLOOKUP(C_1[[#This Row],[OWNER NAME 2]],OWNER_LIST[Owner Name], OWNER_LIST[Email], "") = "", "",
      _xlfn.XLOOKUP(C_1[[#This Row],[OWNER NAME 2]], OWNER_LIST[Owner Name], OWNER_LIST[Email], "")))</f>
        <v/>
      </c>
      <c r="W128" s="229" t="str">
        <f>$A$37</f>
        <v>C1</v>
      </c>
      <c r="X128" s="229" t="str">
        <f>IF(
    OR(
        AND(
            NOT(ISBLANK(C_1[[#This Row],[DESCRIPTION -  INFORMATION LOG]])),
            C_1[[#This Row],[DESCRIPTION -  INFORMATION LOG]] &lt;&gt; "DESCRIPTION -  INFORMATION LOG"
        ),
        NOT(ISBLANK(C_1[[#This Row],[ACTION REQUIRED]]))
    ),
    "Y",
    "N"
)</f>
        <v>Y</v>
      </c>
      <c r="Y128" s="208"/>
      <c r="Z128" s="208"/>
    </row>
    <row r="129" spans="1:26" ht="60.75">
      <c r="A129" s="144" t="s">
        <v>350</v>
      </c>
      <c r="B129" s="212" t="s">
        <v>351</v>
      </c>
      <c r="C129" s="167" t="s">
        <v>95</v>
      </c>
      <c r="D129" s="136" t="s">
        <v>74</v>
      </c>
      <c r="E129" s="129" t="s">
        <v>352</v>
      </c>
      <c r="F129" s="152" t="s">
        <v>353</v>
      </c>
      <c r="G129" s="195" t="s">
        <v>90</v>
      </c>
      <c r="H129" s="93"/>
      <c r="I129" s="132"/>
      <c r="J129" s="83"/>
      <c r="K129" s="83"/>
      <c r="L129" s="83"/>
      <c r="M129" s="133"/>
      <c r="N129" s="207"/>
      <c r="O129" s="208"/>
      <c r="P129" s="208"/>
      <c r="Q129" s="229"/>
      <c r="R129" s="229" t="str">
        <f xml:space="preserve"> _xlfn.CONCAT(C_1[[#This Row],[ESCALATE]], "-",C_1[[#This Row],[Row_PM]])</f>
        <v>-</v>
      </c>
      <c r="S129" s="229" t="str">
        <f xml:space="preserve"> _xlfn.CONCAT(C_1[[#This Row],[ESCALATE]], "-",C_1[[#This Row],[Notify_PM]])</f>
        <v>--</v>
      </c>
      <c r="T129" s="230">
        <f>ROW()</f>
        <v>129</v>
      </c>
      <c r="U129" s="231" t="str">
        <f>IF(C_1[[#This Row],[OWNER NAME 1]] = "", "",
   IF(_xlfn.XLOOKUP(C_1[[#This Row],[OWNER NAME 1]],OWNER_LIST[Owner Name], OWNER_LIST[Email], "") = "", "",
      _xlfn.XLOOKUP(C_1[[#This Row],[OWNER NAME 1]], OWNER_LIST[Owner Name], OWNER_LIST[Email], "")))</f>
        <v/>
      </c>
      <c r="V129" s="231" t="str">
        <f>IF(C_1[[#This Row],[OWNER NAME 2]] = "", "",
   IF(_xlfn.XLOOKUP(C_1[[#This Row],[OWNER NAME 2]],OWNER_LIST[Owner Name], OWNER_LIST[Email], "") = "", "",
      _xlfn.XLOOKUP(C_1[[#This Row],[OWNER NAME 2]], OWNER_LIST[Owner Name], OWNER_LIST[Email], "")))</f>
        <v/>
      </c>
      <c r="W129" s="230" t="str">
        <f t="shared" si="6"/>
        <v>C1</v>
      </c>
      <c r="X129" s="232" t="str">
        <f>IF(
    OR(
        AND(
            NOT(ISBLANK(C_1[[#This Row],[DESCRIPTION -  INFORMATION LOG]])),
            C_1[[#This Row],[DESCRIPTION -  INFORMATION LOG]] &lt;&gt; "DESCRIPTION -  INFORMATION LOG"
        ),
        NOT(ISBLANK(C_1[[#This Row],[ACTION REQUIRED]]))
    ),
    "Y",
    "N"
)</f>
        <v>Y</v>
      </c>
      <c r="Y129" s="208"/>
      <c r="Z129" s="208"/>
    </row>
    <row r="130" spans="1:26" ht="30.75">
      <c r="A130" s="129" t="s">
        <v>354</v>
      </c>
      <c r="B130" s="211" t="s">
        <v>355</v>
      </c>
      <c r="C130" s="152"/>
      <c r="D130" s="144"/>
      <c r="E130" s="209" t="s">
        <v>356</v>
      </c>
      <c r="F130" s="209"/>
      <c r="G130" s="125" t="s">
        <v>93</v>
      </c>
      <c r="H130" s="93">
        <v>45978</v>
      </c>
      <c r="I130" s="132" t="str" cm="1">
        <f t="array" ref="I130">IFERROR(_xlfn.TEXTJOIN(" / ", TRUE, IF(OWNER_LIST[Owner Name]=C_1[[#This Row],[OWNER NAME 1]], OWNER_LIST[Owner ORG], ""), IF(OWNER_LIST[Owner Name]=C_1[[#This Row],[OWNER NAME 2]], OWNER_LIST[Owner ORG], "")), "")</f>
        <v>RPN</v>
      </c>
      <c r="J130" s="83" t="s">
        <v>25</v>
      </c>
      <c r="K130" s="83"/>
      <c r="L130" s="83"/>
      <c r="M130" s="133"/>
      <c r="N130" s="207"/>
      <c r="O130" s="208"/>
      <c r="P130" s="208"/>
      <c r="Q130" s="229"/>
      <c r="R130" s="229" t="str">
        <f xml:space="preserve"> _xlfn.CONCAT(C_1[[#This Row],[ESCALATE]], "-",C_1[[#This Row],[Row_PM]])</f>
        <v>-</v>
      </c>
      <c r="S130" s="229" t="str">
        <f xml:space="preserve"> _xlfn.CONCAT(C_1[[#This Row],[ESCALATE]], "-",C_1[[#This Row],[Notify_PM]])</f>
        <v>--</v>
      </c>
      <c r="T130" s="230">
        <f>ROW()</f>
        <v>130</v>
      </c>
      <c r="U130" s="231" t="str">
        <f>IF(C_1[[#This Row],[OWNER NAME 1]] = "", "",
   IF(_xlfn.XLOOKUP(C_1[[#This Row],[OWNER NAME 1]],OWNER_LIST[Owner Name], OWNER_LIST[Email], "") = "", "",
      _xlfn.XLOOKUP(C_1[[#This Row],[OWNER NAME 1]], OWNER_LIST[Owner Name], OWNER_LIST[Email], "")))</f>
        <v>matteo.naldi@cmbcarpi.it</v>
      </c>
      <c r="V130" s="231" t="str">
        <f>IF(C_1[[#This Row],[OWNER NAME 2]] = "", "",
   IF(_xlfn.XLOOKUP(C_1[[#This Row],[OWNER NAME 2]],OWNER_LIST[Owner Name], OWNER_LIST[Email], "") = "", "",
      _xlfn.XLOOKUP(C_1[[#This Row],[OWNER NAME 2]], OWNER_LIST[Owner Name], OWNER_LIST[Email], "")))</f>
        <v/>
      </c>
      <c r="W130" s="230" t="str">
        <f t="shared" si="6"/>
        <v>C1</v>
      </c>
      <c r="X130" s="232" t="str">
        <f>IF(
    OR(
        AND(
            NOT(ISBLANK(C_1[[#This Row],[DESCRIPTION -  INFORMATION LOG]])),
            C_1[[#This Row],[DESCRIPTION -  INFORMATION LOG]] &lt;&gt; "DESCRIPTION -  INFORMATION LOG"
        ),
        NOT(ISBLANK(C_1[[#This Row],[ACTION REQUIRED]]))
    ),
    "Y",
    "N"
)</f>
        <v>Y</v>
      </c>
      <c r="Y130" s="208"/>
      <c r="Z130" s="208"/>
    </row>
    <row r="131" spans="1:26" ht="30.75">
      <c r="A131" s="129" t="s">
        <v>357</v>
      </c>
      <c r="B131" s="211" t="s">
        <v>358</v>
      </c>
      <c r="C131" s="152" t="s">
        <v>81</v>
      </c>
      <c r="D131" s="144" t="s">
        <v>82</v>
      </c>
      <c r="E131" s="209" t="s">
        <v>359</v>
      </c>
      <c r="F131" s="129"/>
      <c r="G131" s="125" t="s">
        <v>93</v>
      </c>
      <c r="H131" s="93"/>
      <c r="I131" s="132" t="str" cm="1">
        <f t="array" ref="I131">IFERROR(_xlfn.TEXTJOIN(" / ", TRUE, IF(OWNER_LIST[Owner Name]=C_1[[#This Row],[OWNER NAME 1]], OWNER_LIST[Owner ORG], ""), IF(OWNER_LIST[Owner Name]=C_1[[#This Row],[OWNER NAME 2]], OWNER_LIST[Owner ORG], "")), "")</f>
        <v/>
      </c>
      <c r="J131" s="83"/>
      <c r="K131" s="83"/>
      <c r="L131" s="83"/>
      <c r="M131" s="133"/>
      <c r="N131" s="207"/>
      <c r="O131" s="208"/>
      <c r="P131" s="208"/>
      <c r="Q131" s="229"/>
      <c r="R131" s="229" t="str">
        <f xml:space="preserve"> _xlfn.CONCAT(C_1[[#This Row],[ESCALATE]], "-",C_1[[#This Row],[Row_PM]])</f>
        <v>-</v>
      </c>
      <c r="S131" s="229" t="str">
        <f xml:space="preserve"> _xlfn.CONCAT(C_1[[#This Row],[ESCALATE]], "-",C_1[[#This Row],[Notify_PM]])</f>
        <v>--</v>
      </c>
      <c r="T131" s="229">
        <f>ROW()</f>
        <v>131</v>
      </c>
      <c r="U131" s="229" t="str">
        <f>IF(C_1[[#This Row],[OWNER NAME 1]] = "", "",
   IF(_xlfn.XLOOKUP(C_1[[#This Row],[OWNER NAME 1]],OWNER_LIST[Owner Name], OWNER_LIST[Email], "") = "", "",
      _xlfn.XLOOKUP(C_1[[#This Row],[OWNER NAME 1]], OWNER_LIST[Owner Name], OWNER_LIST[Email], "")))</f>
        <v/>
      </c>
      <c r="V131" s="229" t="str">
        <f>IF(C_1[[#This Row],[OWNER NAME 2]] = "", "",
   IF(_xlfn.XLOOKUP(C_1[[#This Row],[OWNER NAME 2]],OWNER_LIST[Owner Name], OWNER_LIST[Email], "") = "", "",
      _xlfn.XLOOKUP(C_1[[#This Row],[OWNER NAME 2]], OWNER_LIST[Owner Name], OWNER_LIST[Email], "")))</f>
        <v/>
      </c>
      <c r="W131" s="229" t="str">
        <f t="shared" si="6"/>
        <v>C1</v>
      </c>
      <c r="X131" s="229" t="str">
        <f>IF(
    OR(
        AND(
            NOT(ISBLANK(C_1[[#This Row],[DESCRIPTION -  INFORMATION LOG]])),
            C_1[[#This Row],[DESCRIPTION -  INFORMATION LOG]] &lt;&gt; "DESCRIPTION -  INFORMATION LOG"
        ),
        NOT(ISBLANK(C_1[[#This Row],[ACTION REQUIRED]]))
    ),
    "Y",
    "N"
)</f>
        <v>Y</v>
      </c>
      <c r="Y131" s="208"/>
      <c r="Z131" s="208"/>
    </row>
    <row r="132" spans="1:26" ht="60.75">
      <c r="A132" s="129" t="s">
        <v>357</v>
      </c>
      <c r="B132" s="209" t="s">
        <v>360</v>
      </c>
      <c r="C132" s="152" t="s">
        <v>81</v>
      </c>
      <c r="D132" s="144" t="s">
        <v>82</v>
      </c>
      <c r="E132" s="311" t="s">
        <v>361</v>
      </c>
      <c r="F132" s="290" t="s">
        <v>362</v>
      </c>
      <c r="G132" s="125" t="s">
        <v>85</v>
      </c>
      <c r="H132" s="93"/>
      <c r="I132" s="132" t="str" cm="1">
        <f t="array" ref="I132">IFERROR(_xlfn.TEXTJOIN(" / ", TRUE, IF(OWNER_LIST[Owner Name]=C_1[[#This Row],[OWNER NAME 1]], OWNER_LIST[Owner ORG], ""), IF(OWNER_LIST[Owner Name]=C_1[[#This Row],[OWNER NAME 2]], OWNER_LIST[Owner ORG], "")), "")</f>
        <v/>
      </c>
      <c r="J132" s="83"/>
      <c r="K132" s="83"/>
      <c r="L132" s="83"/>
      <c r="M132" s="133"/>
      <c r="N132" s="207"/>
      <c r="O132" s="208"/>
      <c r="P132" s="208"/>
      <c r="Q132" s="229"/>
      <c r="R132" s="229" t="str">
        <f xml:space="preserve"> _xlfn.CONCAT(C_1[[#This Row],[ESCALATE]], "-",C_1[[#This Row],[Row_PM]])</f>
        <v>-</v>
      </c>
      <c r="S132" s="229" t="str">
        <f xml:space="preserve"> _xlfn.CONCAT(C_1[[#This Row],[ESCALATE]], "-",C_1[[#This Row],[Notify_PM]])</f>
        <v>--</v>
      </c>
      <c r="T132" s="229">
        <f>ROW()</f>
        <v>132</v>
      </c>
      <c r="U132" s="229" t="str">
        <f>IF(C_1[[#This Row],[OWNER NAME 1]] = "", "",
   IF(_xlfn.XLOOKUP(C_1[[#This Row],[OWNER NAME 1]],OWNER_LIST[Owner Name], OWNER_LIST[Email], "") = "", "",
      _xlfn.XLOOKUP(C_1[[#This Row],[OWNER NAME 1]], OWNER_LIST[Owner Name], OWNER_LIST[Email], "")))</f>
        <v/>
      </c>
      <c r="V132" s="229" t="str">
        <f>IF(C_1[[#This Row],[OWNER NAME 2]] = "", "",
   IF(_xlfn.XLOOKUP(C_1[[#This Row],[OWNER NAME 2]],OWNER_LIST[Owner Name], OWNER_LIST[Email], "") = "", "",
      _xlfn.XLOOKUP(C_1[[#This Row],[OWNER NAME 2]], OWNER_LIST[Owner Name], OWNER_LIST[Email], "")))</f>
        <v/>
      </c>
      <c r="W132" s="229" t="str">
        <f t="shared" ref="W132:W137" si="7">$A$37</f>
        <v>C1</v>
      </c>
      <c r="X132" s="229" t="str">
        <f>IF(
    OR(
        AND(
            NOT(ISBLANK(C_1[[#This Row],[DESCRIPTION -  INFORMATION LOG]])),
            C_1[[#This Row],[DESCRIPTION -  INFORMATION LOG]] &lt;&gt; "DESCRIPTION -  INFORMATION LOG"
        ),
        NOT(ISBLANK(C_1[[#This Row],[ACTION REQUIRED]]))
    ),
    "Y",
    "N"
)</f>
        <v>Y</v>
      </c>
      <c r="Y132" s="208"/>
      <c r="Z132" s="208"/>
    </row>
    <row r="133" spans="1:26" ht="30.75">
      <c r="A133" s="129" t="s">
        <v>335</v>
      </c>
      <c r="B133" s="209" t="s">
        <v>363</v>
      </c>
      <c r="C133" s="152" t="s">
        <v>81</v>
      </c>
      <c r="D133" s="144" t="s">
        <v>82</v>
      </c>
      <c r="E133" s="129" t="s">
        <v>364</v>
      </c>
      <c r="F133" s="129" t="s">
        <v>365</v>
      </c>
      <c r="G133" s="125" t="s">
        <v>85</v>
      </c>
      <c r="H133" s="93">
        <v>45952</v>
      </c>
      <c r="I133" s="132" t="str" cm="1">
        <f t="array" ref="I133">IFERROR(_xlfn.TEXTJOIN(" / ", TRUE, IF(OWNER_LIST[Owner Name]=C_1[[#This Row],[OWNER NAME 1]], OWNER_LIST[Owner ORG], ""), IF(OWNER_LIST[Owner Name]=C_1[[#This Row],[OWNER NAME 2]], OWNER_LIST[Owner ORG], "")), "")</f>
        <v>RPN</v>
      </c>
      <c r="J133" s="83" t="s">
        <v>30</v>
      </c>
      <c r="K133" s="83"/>
      <c r="L133" s="83"/>
      <c r="M133" s="133"/>
      <c r="N133" s="207"/>
      <c r="O133" s="208"/>
      <c r="P133" s="208"/>
      <c r="Q133" s="229"/>
      <c r="R133" s="229" t="str">
        <f xml:space="preserve"> _xlfn.CONCAT(C_1[[#This Row],[ESCALATE]], "-",C_1[[#This Row],[Row_PM]])</f>
        <v>-</v>
      </c>
      <c r="S133" s="229" t="str">
        <f xml:space="preserve"> _xlfn.CONCAT(C_1[[#This Row],[ESCALATE]], "-",C_1[[#This Row],[Notify_PM]])</f>
        <v>--</v>
      </c>
      <c r="T133" s="229">
        <f>ROW()</f>
        <v>133</v>
      </c>
      <c r="U133" s="229" t="str">
        <f>IF(C_1[[#This Row],[OWNER NAME 1]] = "", "",
   IF(_xlfn.XLOOKUP(C_1[[#This Row],[OWNER NAME 1]],OWNER_LIST[Owner Name], OWNER_LIST[Email], "") = "", "",
      _xlfn.XLOOKUP(C_1[[#This Row],[OWNER NAME 1]], OWNER_LIST[Owner Name], OWNER_LIST[Email], "")))</f>
        <v>simone.conti@cmbcarpi.it</v>
      </c>
      <c r="V133" s="229" t="str">
        <f>IF(C_1[[#This Row],[OWNER NAME 2]] = "", "",
   IF(_xlfn.XLOOKUP(C_1[[#This Row],[OWNER NAME 2]],OWNER_LIST[Owner Name], OWNER_LIST[Email], "") = "", "",
      _xlfn.XLOOKUP(C_1[[#This Row],[OWNER NAME 2]], OWNER_LIST[Owner Name], OWNER_LIST[Email], "")))</f>
        <v/>
      </c>
      <c r="W133" s="229" t="str">
        <f t="shared" ref="W133:W136" si="8">$A$37</f>
        <v>C1</v>
      </c>
      <c r="X133" s="229" t="str">
        <f>IF(
    OR(
        AND(
            NOT(ISBLANK(C_1[[#This Row],[DESCRIPTION -  INFORMATION LOG]])),
            C_1[[#This Row],[DESCRIPTION -  INFORMATION LOG]] &lt;&gt; "DESCRIPTION -  INFORMATION LOG"
        ),
        NOT(ISBLANK(C_1[[#This Row],[ACTION REQUIRED]]))
    ),
    "Y",
    "N"
)</f>
        <v>Y</v>
      </c>
      <c r="Y133" s="208"/>
      <c r="Z133" s="208"/>
    </row>
    <row r="134" spans="1:26" ht="30.75">
      <c r="A134" s="129" t="s">
        <v>335</v>
      </c>
      <c r="B134" s="209" t="s">
        <v>366</v>
      </c>
      <c r="C134" s="152" t="s">
        <v>95</v>
      </c>
      <c r="D134" s="144" t="s">
        <v>74</v>
      </c>
      <c r="E134" s="129" t="s">
        <v>367</v>
      </c>
      <c r="F134" s="129"/>
      <c r="G134" s="197" t="s">
        <v>90</v>
      </c>
      <c r="H134" s="93"/>
      <c r="I134" s="132" t="str" cm="1">
        <f t="array" ref="I134">IFERROR(_xlfn.TEXTJOIN(" / ", TRUE, IF(OWNER_LIST[Owner Name]=C_1[[#This Row],[OWNER NAME 1]], OWNER_LIST[Owner ORG], ""), IF(OWNER_LIST[Owner Name]=C_1[[#This Row],[OWNER NAME 2]], OWNER_LIST[Owner ORG], "")), "")</f>
        <v/>
      </c>
      <c r="J134" s="83"/>
      <c r="K134" s="83"/>
      <c r="L134" s="83"/>
      <c r="M134" s="133"/>
      <c r="N134" s="207"/>
      <c r="O134" s="208"/>
      <c r="P134" s="208"/>
      <c r="Q134" s="229"/>
      <c r="R134" s="229" t="str">
        <f xml:space="preserve"> _xlfn.CONCAT(C_1[[#This Row],[ESCALATE]], "-",C_1[[#This Row],[Row_PM]])</f>
        <v>-</v>
      </c>
      <c r="S134" s="229" t="str">
        <f xml:space="preserve"> _xlfn.CONCAT(C_1[[#This Row],[ESCALATE]], "-",C_1[[#This Row],[Notify_PM]])</f>
        <v>--</v>
      </c>
      <c r="T134" s="229">
        <f>ROW()</f>
        <v>134</v>
      </c>
      <c r="U134" s="229" t="str">
        <f>IF(C_1[[#This Row],[OWNER NAME 1]] = "", "",
   IF(_xlfn.XLOOKUP(C_1[[#This Row],[OWNER NAME 1]],OWNER_LIST[Owner Name], OWNER_LIST[Email], "") = "", "",
      _xlfn.XLOOKUP(C_1[[#This Row],[OWNER NAME 1]], OWNER_LIST[Owner Name], OWNER_LIST[Email], "")))</f>
        <v/>
      </c>
      <c r="V134" s="229" t="str">
        <f>IF(C_1[[#This Row],[OWNER NAME 2]] = "", "",
   IF(_xlfn.XLOOKUP(C_1[[#This Row],[OWNER NAME 2]],OWNER_LIST[Owner Name], OWNER_LIST[Email], "") = "", "",
      _xlfn.XLOOKUP(C_1[[#This Row],[OWNER NAME 2]], OWNER_LIST[Owner Name], OWNER_LIST[Email], "")))</f>
        <v/>
      </c>
      <c r="W134" s="229" t="str">
        <f t="shared" si="8"/>
        <v>C1</v>
      </c>
      <c r="X134" s="229" t="str">
        <f>IF(
    OR(
        AND(
            NOT(ISBLANK(C_1[[#This Row],[DESCRIPTION -  INFORMATION LOG]])),
            C_1[[#This Row],[DESCRIPTION -  INFORMATION LOG]] &lt;&gt; "DESCRIPTION -  INFORMATION LOG"
        ),
        NOT(ISBLANK(C_1[[#This Row],[ACTION REQUIRED]]))
    ),
    "Y",
    "N"
)</f>
        <v>Y</v>
      </c>
      <c r="Y134" s="208"/>
      <c r="Z134" s="208"/>
    </row>
    <row r="135" spans="1:26">
      <c r="A135" s="129" t="s">
        <v>335</v>
      </c>
      <c r="B135" s="209" t="s">
        <v>368</v>
      </c>
      <c r="C135" s="152" t="s">
        <v>81</v>
      </c>
      <c r="D135" s="144" t="s">
        <v>82</v>
      </c>
      <c r="E135" s="129" t="s">
        <v>369</v>
      </c>
      <c r="F135" s="129" t="s">
        <v>370</v>
      </c>
      <c r="G135" s="125" t="s">
        <v>85</v>
      </c>
      <c r="H135" s="93">
        <v>45952</v>
      </c>
      <c r="I135" s="132" t="str" cm="1">
        <f t="array" ref="I135">IFERROR(_xlfn.TEXTJOIN(" / ", TRUE, IF(OWNER_LIST[Owner Name]=C_1[[#This Row],[OWNER NAME 1]], OWNER_LIST[Owner ORG], ""), IF(OWNER_LIST[Owner Name]=C_1[[#This Row],[OWNER NAME 2]], OWNER_LIST[Owner ORG], "")), "")</f>
        <v>RPN</v>
      </c>
      <c r="J135" s="83" t="s">
        <v>30</v>
      </c>
      <c r="K135" s="83"/>
      <c r="L135" s="83"/>
      <c r="M135" s="133"/>
      <c r="N135" s="207"/>
      <c r="O135" s="208"/>
      <c r="P135" s="208"/>
      <c r="Q135" s="229"/>
      <c r="R135" s="229" t="str">
        <f xml:space="preserve"> _xlfn.CONCAT(C_1[[#This Row],[ESCALATE]], "-",C_1[[#This Row],[Row_PM]])</f>
        <v>-</v>
      </c>
      <c r="S135" s="229" t="str">
        <f xml:space="preserve"> _xlfn.CONCAT(C_1[[#This Row],[ESCALATE]], "-",C_1[[#This Row],[Notify_PM]])</f>
        <v>--</v>
      </c>
      <c r="T135" s="229">
        <f>ROW()</f>
        <v>135</v>
      </c>
      <c r="U135" s="229" t="str">
        <f>IF(C_1[[#This Row],[OWNER NAME 1]] = "", "",
   IF(_xlfn.XLOOKUP(C_1[[#This Row],[OWNER NAME 1]],OWNER_LIST[Owner Name], OWNER_LIST[Email], "") = "", "",
      _xlfn.XLOOKUP(C_1[[#This Row],[OWNER NAME 1]], OWNER_LIST[Owner Name], OWNER_LIST[Email], "")))</f>
        <v>simone.conti@cmbcarpi.it</v>
      </c>
      <c r="V135" s="229" t="str">
        <f>IF(C_1[[#This Row],[OWNER NAME 2]] = "", "",
   IF(_xlfn.XLOOKUP(C_1[[#This Row],[OWNER NAME 2]],OWNER_LIST[Owner Name], OWNER_LIST[Email], "") = "", "",
      _xlfn.XLOOKUP(C_1[[#This Row],[OWNER NAME 2]], OWNER_LIST[Owner Name], OWNER_LIST[Email], "")))</f>
        <v/>
      </c>
      <c r="W135" s="229" t="str">
        <f t="shared" si="8"/>
        <v>C1</v>
      </c>
      <c r="X135" s="229" t="str">
        <f>IF(
    OR(
        AND(
            NOT(ISBLANK(C_1[[#This Row],[DESCRIPTION -  INFORMATION LOG]])),
            C_1[[#This Row],[DESCRIPTION -  INFORMATION LOG]] &lt;&gt; "DESCRIPTION -  INFORMATION LOG"
        ),
        NOT(ISBLANK(C_1[[#This Row],[ACTION REQUIRED]]))
    ),
    "Y",
    "N"
)</f>
        <v>Y</v>
      </c>
      <c r="Y135" s="208"/>
      <c r="Z135" s="208"/>
    </row>
    <row r="136" spans="1:26">
      <c r="A136" s="129" t="s">
        <v>335</v>
      </c>
      <c r="B136" s="209" t="s">
        <v>371</v>
      </c>
      <c r="C136" s="152" t="s">
        <v>81</v>
      </c>
      <c r="D136" s="144" t="s">
        <v>82</v>
      </c>
      <c r="E136" s="129" t="s">
        <v>372</v>
      </c>
      <c r="F136" s="129" t="s">
        <v>373</v>
      </c>
      <c r="G136" s="125" t="s">
        <v>85</v>
      </c>
      <c r="H136" s="93">
        <v>45952</v>
      </c>
      <c r="I136" s="132" t="str" cm="1">
        <f t="array" ref="I136">IFERROR(_xlfn.TEXTJOIN(" / ", TRUE, IF(OWNER_LIST[Owner Name]=C_1[[#This Row],[OWNER NAME 1]], OWNER_LIST[Owner ORG], ""), IF(OWNER_LIST[Owner Name]=C_1[[#This Row],[OWNER NAME 2]], OWNER_LIST[Owner ORG], "")), "")</f>
        <v>RPN</v>
      </c>
      <c r="J136" s="83" t="s">
        <v>30</v>
      </c>
      <c r="K136" s="83"/>
      <c r="L136" s="83"/>
      <c r="M136" s="133"/>
      <c r="N136" s="207"/>
      <c r="O136" s="208"/>
      <c r="P136" s="208"/>
      <c r="Q136" s="229"/>
      <c r="R136" s="229" t="str">
        <f xml:space="preserve"> _xlfn.CONCAT(C_1[[#This Row],[ESCALATE]], "-",C_1[[#This Row],[Row_PM]])</f>
        <v>-</v>
      </c>
      <c r="S136" s="229" t="str">
        <f xml:space="preserve"> _xlfn.CONCAT(C_1[[#This Row],[ESCALATE]], "-",C_1[[#This Row],[Notify_PM]])</f>
        <v>--</v>
      </c>
      <c r="T136" s="229">
        <f>ROW()</f>
        <v>136</v>
      </c>
      <c r="U136" s="229" t="str">
        <f>IF(C_1[[#This Row],[OWNER NAME 1]] = "", "",
   IF(_xlfn.XLOOKUP(C_1[[#This Row],[OWNER NAME 1]],OWNER_LIST[Owner Name], OWNER_LIST[Email], "") = "", "",
      _xlfn.XLOOKUP(C_1[[#This Row],[OWNER NAME 1]], OWNER_LIST[Owner Name], OWNER_LIST[Email], "")))</f>
        <v>simone.conti@cmbcarpi.it</v>
      </c>
      <c r="V136" s="229" t="str">
        <f>IF(C_1[[#This Row],[OWNER NAME 2]] = "", "",
   IF(_xlfn.XLOOKUP(C_1[[#This Row],[OWNER NAME 2]],OWNER_LIST[Owner Name], OWNER_LIST[Email], "") = "", "",
      _xlfn.XLOOKUP(C_1[[#This Row],[OWNER NAME 2]], OWNER_LIST[Owner Name], OWNER_LIST[Email], "")))</f>
        <v/>
      </c>
      <c r="W136" s="229" t="str">
        <f t="shared" si="8"/>
        <v>C1</v>
      </c>
      <c r="X136" s="229" t="str">
        <f>IF(
    OR(
        AND(
            NOT(ISBLANK(C_1[[#This Row],[DESCRIPTION -  INFORMATION LOG]])),
            C_1[[#This Row],[DESCRIPTION -  INFORMATION LOG]] &lt;&gt; "DESCRIPTION -  INFORMATION LOG"
        ),
        NOT(ISBLANK(C_1[[#This Row],[ACTION REQUIRED]]))
    ),
    "Y",
    "N"
)</f>
        <v>Y</v>
      </c>
      <c r="Y136" s="208"/>
      <c r="Z136" s="208"/>
    </row>
    <row r="137" spans="1:26">
      <c r="A137" s="129" t="s">
        <v>335</v>
      </c>
      <c r="B137" s="209" t="s">
        <v>374</v>
      </c>
      <c r="C137" s="152" t="s">
        <v>81</v>
      </c>
      <c r="D137" s="144" t="s">
        <v>82</v>
      </c>
      <c r="E137" s="129" t="s">
        <v>375</v>
      </c>
      <c r="F137" s="129" t="s">
        <v>373</v>
      </c>
      <c r="G137" s="125" t="s">
        <v>85</v>
      </c>
      <c r="H137" s="93">
        <v>45952</v>
      </c>
      <c r="I137" s="132" t="str" cm="1">
        <f t="array" ref="I137">IFERROR(_xlfn.TEXTJOIN(" / ", TRUE, IF(OWNER_LIST[Owner Name]=C_1[[#This Row],[OWNER NAME 1]], OWNER_LIST[Owner ORG], ""), IF(OWNER_LIST[Owner Name]=C_1[[#This Row],[OWNER NAME 2]], OWNER_LIST[Owner ORG], "")), "")</f>
        <v>RPN</v>
      </c>
      <c r="J137" s="83" t="s">
        <v>30</v>
      </c>
      <c r="K137" s="83"/>
      <c r="L137" s="83"/>
      <c r="M137" s="133"/>
      <c r="N137" s="207"/>
      <c r="O137" s="208"/>
      <c r="P137" s="208"/>
      <c r="Q137" s="229"/>
      <c r="R137" s="229" t="str">
        <f xml:space="preserve"> _xlfn.CONCAT(C_1[[#This Row],[ESCALATE]], "-",C_1[[#This Row],[Row_PM]])</f>
        <v>-</v>
      </c>
      <c r="S137" s="229" t="str">
        <f xml:space="preserve"> _xlfn.CONCAT(C_1[[#This Row],[ESCALATE]], "-",C_1[[#This Row],[Notify_PM]])</f>
        <v>--</v>
      </c>
      <c r="T137" s="229">
        <f>ROW()</f>
        <v>137</v>
      </c>
      <c r="U137" s="229" t="str">
        <f>IF(C_1[[#This Row],[OWNER NAME 1]] = "", "",
   IF(_xlfn.XLOOKUP(C_1[[#This Row],[OWNER NAME 1]],OWNER_LIST[Owner Name], OWNER_LIST[Email], "") = "", "",
      _xlfn.XLOOKUP(C_1[[#This Row],[OWNER NAME 1]], OWNER_LIST[Owner Name], OWNER_LIST[Email], "")))</f>
        <v>simone.conti@cmbcarpi.it</v>
      </c>
      <c r="V137" s="229" t="str">
        <f>IF(C_1[[#This Row],[OWNER NAME 2]] = "", "",
   IF(_xlfn.XLOOKUP(C_1[[#This Row],[OWNER NAME 2]],OWNER_LIST[Owner Name], OWNER_LIST[Email], "") = "", "",
      _xlfn.XLOOKUP(C_1[[#This Row],[OWNER NAME 2]], OWNER_LIST[Owner Name], OWNER_LIST[Email], "")))</f>
        <v/>
      </c>
      <c r="W137" s="229" t="str">
        <f t="shared" si="7"/>
        <v>C1</v>
      </c>
      <c r="X137" s="229" t="str">
        <f>IF(
    OR(
        AND(
            NOT(ISBLANK(C_1[[#This Row],[DESCRIPTION -  INFORMATION LOG]])),
            C_1[[#This Row],[DESCRIPTION -  INFORMATION LOG]] &lt;&gt; "DESCRIPTION -  INFORMATION LOG"
        ),
        NOT(ISBLANK(C_1[[#This Row],[ACTION REQUIRED]]))
    ),
    "Y",
    "N"
)</f>
        <v>Y</v>
      </c>
      <c r="Y137" s="208"/>
      <c r="Z137" s="208"/>
    </row>
    <row r="138" spans="1:26" ht="30.75">
      <c r="A138" s="129" t="s">
        <v>335</v>
      </c>
      <c r="B138" s="209" t="s">
        <v>376</v>
      </c>
      <c r="C138" s="152" t="s">
        <v>81</v>
      </c>
      <c r="D138" s="144" t="s">
        <v>82</v>
      </c>
      <c r="E138" s="129" t="s">
        <v>377</v>
      </c>
      <c r="F138" s="129" t="s">
        <v>373</v>
      </c>
      <c r="G138" s="125" t="s">
        <v>85</v>
      </c>
      <c r="H138" s="93">
        <v>45952</v>
      </c>
      <c r="I138" s="132" t="str" cm="1">
        <f t="array" ref="I138">IFERROR(_xlfn.TEXTJOIN(" / ", TRUE, IF(OWNER_LIST[Owner Name]=C_1[[#This Row],[OWNER NAME 1]], OWNER_LIST[Owner ORG], ""), IF(OWNER_LIST[Owner Name]=C_1[[#This Row],[OWNER NAME 2]], OWNER_LIST[Owner ORG], "")), "")</f>
        <v>RPN</v>
      </c>
      <c r="J138" s="83" t="s">
        <v>30</v>
      </c>
      <c r="K138" s="83"/>
      <c r="L138" s="83"/>
      <c r="M138" s="133"/>
      <c r="N138" s="207"/>
      <c r="O138" s="208"/>
      <c r="P138" s="208"/>
      <c r="Q138" s="229"/>
      <c r="R138" s="229" t="str">
        <f xml:space="preserve"> _xlfn.CONCAT(C_1[[#This Row],[ESCALATE]], "-",C_1[[#This Row],[Row_PM]])</f>
        <v>-</v>
      </c>
      <c r="S138" s="229" t="str">
        <f xml:space="preserve"> _xlfn.CONCAT(C_1[[#This Row],[ESCALATE]], "-",C_1[[#This Row],[Notify_PM]])</f>
        <v>--</v>
      </c>
      <c r="T138" s="229">
        <f>ROW()</f>
        <v>138</v>
      </c>
      <c r="U138" s="229" t="str">
        <f>IF(C_1[[#This Row],[OWNER NAME 1]] = "", "",
   IF(_xlfn.XLOOKUP(C_1[[#This Row],[OWNER NAME 1]],OWNER_LIST[Owner Name], OWNER_LIST[Email], "") = "", "",
      _xlfn.XLOOKUP(C_1[[#This Row],[OWNER NAME 1]], OWNER_LIST[Owner Name], OWNER_LIST[Email], "")))</f>
        <v>simone.conti@cmbcarpi.it</v>
      </c>
      <c r="V138" s="229" t="str">
        <f>IF(C_1[[#This Row],[OWNER NAME 2]] = "", "",
   IF(_xlfn.XLOOKUP(C_1[[#This Row],[OWNER NAME 2]],OWNER_LIST[Owner Name], OWNER_LIST[Email], "") = "", "",
      _xlfn.XLOOKUP(C_1[[#This Row],[OWNER NAME 2]], OWNER_LIST[Owner Name], OWNER_LIST[Email], "")))</f>
        <v/>
      </c>
      <c r="W138" s="229" t="str">
        <f t="shared" ref="W138:W139" si="9">$A$37</f>
        <v>C1</v>
      </c>
      <c r="X138" s="229" t="str">
        <f>IF(
    OR(
        AND(
            NOT(ISBLANK(C_1[[#This Row],[DESCRIPTION -  INFORMATION LOG]])),
            C_1[[#This Row],[DESCRIPTION -  INFORMATION LOG]] &lt;&gt; "DESCRIPTION -  INFORMATION LOG"
        ),
        NOT(ISBLANK(C_1[[#This Row],[ACTION REQUIRED]]))
    ),
    "Y",
    "N"
)</f>
        <v>Y</v>
      </c>
      <c r="Y138" s="208"/>
      <c r="Z138" s="208"/>
    </row>
    <row r="139" spans="1:26">
      <c r="A139" s="129" t="s">
        <v>335</v>
      </c>
      <c r="B139" s="209" t="s">
        <v>378</v>
      </c>
      <c r="C139" s="152" t="s">
        <v>81</v>
      </c>
      <c r="D139" s="144" t="s">
        <v>82</v>
      </c>
      <c r="E139" s="129" t="s">
        <v>379</v>
      </c>
      <c r="F139" s="129"/>
      <c r="G139" s="125" t="s">
        <v>85</v>
      </c>
      <c r="H139" s="93">
        <v>45952</v>
      </c>
      <c r="I139" s="132" t="str" cm="1">
        <f t="array" ref="I139">IFERROR(_xlfn.TEXTJOIN(" / ", TRUE, IF(OWNER_LIST[Owner Name]=C_1[[#This Row],[OWNER NAME 1]], OWNER_LIST[Owner ORG], ""), IF(OWNER_LIST[Owner Name]=C_1[[#This Row],[OWNER NAME 2]], OWNER_LIST[Owner ORG], "")), "")</f>
        <v>RPN</v>
      </c>
      <c r="J139" s="83" t="s">
        <v>30</v>
      </c>
      <c r="K139" s="83"/>
      <c r="L139" s="83"/>
      <c r="M139" s="133"/>
      <c r="N139" s="207"/>
      <c r="O139" s="208"/>
      <c r="P139" s="208"/>
      <c r="Q139" s="229"/>
      <c r="R139" s="229" t="str">
        <f xml:space="preserve"> _xlfn.CONCAT(C_1[[#This Row],[ESCALATE]], "-",C_1[[#This Row],[Row_PM]])</f>
        <v>-</v>
      </c>
      <c r="S139" s="229" t="str">
        <f xml:space="preserve"> _xlfn.CONCAT(C_1[[#This Row],[ESCALATE]], "-",C_1[[#This Row],[Notify_PM]])</f>
        <v>--</v>
      </c>
      <c r="T139" s="229">
        <f>ROW()</f>
        <v>139</v>
      </c>
      <c r="U139" s="229" t="str">
        <f>IF(C_1[[#This Row],[OWNER NAME 1]] = "", "",
   IF(_xlfn.XLOOKUP(C_1[[#This Row],[OWNER NAME 1]],OWNER_LIST[Owner Name], OWNER_LIST[Email], "") = "", "",
      _xlfn.XLOOKUP(C_1[[#This Row],[OWNER NAME 1]], OWNER_LIST[Owner Name], OWNER_LIST[Email], "")))</f>
        <v>simone.conti@cmbcarpi.it</v>
      </c>
      <c r="V139" s="229" t="str">
        <f>IF(C_1[[#This Row],[OWNER NAME 2]] = "", "",
   IF(_xlfn.XLOOKUP(C_1[[#This Row],[OWNER NAME 2]],OWNER_LIST[Owner Name], OWNER_LIST[Email], "") = "", "",
      _xlfn.XLOOKUP(C_1[[#This Row],[OWNER NAME 2]], OWNER_LIST[Owner Name], OWNER_LIST[Email], "")))</f>
        <v/>
      </c>
      <c r="W139" s="229" t="str">
        <f t="shared" si="9"/>
        <v>C1</v>
      </c>
      <c r="X139" s="229" t="str">
        <f>IF(
    OR(
        AND(
            NOT(ISBLANK(C_1[[#This Row],[DESCRIPTION -  INFORMATION LOG]])),
            C_1[[#This Row],[DESCRIPTION -  INFORMATION LOG]] &lt;&gt; "DESCRIPTION -  INFORMATION LOG"
        ),
        NOT(ISBLANK(C_1[[#This Row],[ACTION REQUIRED]]))
    ),
    "Y",
    "N"
)</f>
        <v>Y</v>
      </c>
      <c r="Y139" s="208"/>
      <c r="Z139" s="208"/>
    </row>
    <row r="140" spans="1:26" ht="91.5">
      <c r="A140" s="129" t="s">
        <v>335</v>
      </c>
      <c r="B140" s="209" t="s">
        <v>380</v>
      </c>
      <c r="C140" s="152" t="s">
        <v>81</v>
      </c>
      <c r="D140" s="144" t="s">
        <v>82</v>
      </c>
      <c r="E140" s="129" t="s">
        <v>381</v>
      </c>
      <c r="F140" s="129" t="s">
        <v>382</v>
      </c>
      <c r="G140" s="197" t="s">
        <v>93</v>
      </c>
      <c r="H140" s="93"/>
      <c r="I140" s="132"/>
      <c r="J140" s="83"/>
      <c r="K140" s="83" t="s">
        <v>383</v>
      </c>
      <c r="L140" s="83"/>
      <c r="M140" s="133"/>
      <c r="N140" s="207"/>
      <c r="O140" s="208"/>
      <c r="P140" s="208"/>
      <c r="Q140" s="229"/>
      <c r="R140" s="229" t="str">
        <f xml:space="preserve"> _xlfn.CONCAT(C_1[[#This Row],[ESCALATE]], "-",C_1[[#This Row],[Row_PM]])</f>
        <v>-</v>
      </c>
      <c r="S140" s="229" t="str">
        <f xml:space="preserve"> _xlfn.CONCAT(C_1[[#This Row],[ESCALATE]], "-",C_1[[#This Row],[Notify_PM]])</f>
        <v>--</v>
      </c>
      <c r="T140" s="229">
        <f>ROW()</f>
        <v>140</v>
      </c>
      <c r="U140" s="229" t="str">
        <f>IF(C_1[[#This Row],[OWNER NAME 1]] = "", "",
   IF(_xlfn.XLOOKUP(C_1[[#This Row],[OWNER NAME 1]],OWNER_LIST[Owner Name], OWNER_LIST[Email], "") = "", "",
      _xlfn.XLOOKUP(C_1[[#This Row],[OWNER NAME 1]], OWNER_LIST[Owner Name], OWNER_LIST[Email], "")))</f>
        <v/>
      </c>
      <c r="V140" s="229" t="str">
        <f>IF(C_1[[#This Row],[OWNER NAME 2]] = "", "",
   IF(_xlfn.XLOOKUP(C_1[[#This Row],[OWNER NAME 2]],OWNER_LIST[Owner Name], OWNER_LIST[Email], "") = "", "",
      _xlfn.XLOOKUP(C_1[[#This Row],[OWNER NAME 2]], OWNER_LIST[Owner Name], OWNER_LIST[Email], "")))</f>
        <v>donatella.rocca@un.org</v>
      </c>
      <c r="W140" s="229" t="str">
        <f t="shared" ref="W140:W141" si="10">$A$37</f>
        <v>C1</v>
      </c>
      <c r="X140" s="229" t="str">
        <f>IF(
    OR(
        AND(
            NOT(ISBLANK(C_1[[#This Row],[DESCRIPTION -  INFORMATION LOG]])),
            C_1[[#This Row],[DESCRIPTION -  INFORMATION LOG]] &lt;&gt; "DESCRIPTION -  INFORMATION LOG"
        ),
        NOT(ISBLANK(C_1[[#This Row],[ACTION REQUIRED]]))
    ),
    "Y",
    "N"
)</f>
        <v>Y</v>
      </c>
      <c r="Y140" s="208"/>
      <c r="Z140" s="208"/>
    </row>
    <row r="141" spans="1:26" ht="60.75">
      <c r="A141" s="129" t="s">
        <v>335</v>
      </c>
      <c r="B141" s="211" t="s">
        <v>384</v>
      </c>
      <c r="C141" s="152" t="s">
        <v>95</v>
      </c>
      <c r="D141" s="144" t="s">
        <v>82</v>
      </c>
      <c r="E141" s="260" t="s">
        <v>385</v>
      </c>
      <c r="F141" s="129" t="s">
        <v>386</v>
      </c>
      <c r="G141" s="197" t="s">
        <v>85</v>
      </c>
      <c r="H141" s="93">
        <v>46062</v>
      </c>
      <c r="I141" s="132" t="str" cm="1">
        <f t="array" ref="I141">IFERROR(_xlfn.TEXTJOIN(" / ", TRUE, IF(OWNER_LIST[Owner Name]=C_1[[#This Row],[OWNER NAME 1]], OWNER_LIST[Owner ORG], ""), IF(OWNER_LIST[Owner Name]=C_1[[#This Row],[OWNER NAME 2]], OWNER_LIST[Owner ORG], "")), "")</f>
        <v>RPN</v>
      </c>
      <c r="J141" s="83" t="s">
        <v>33</v>
      </c>
      <c r="K141" s="83"/>
      <c r="L141" s="83"/>
      <c r="M141" s="133"/>
      <c r="N141" s="207"/>
      <c r="O141" s="208"/>
      <c r="P141" s="208"/>
      <c r="Q141" s="229"/>
      <c r="R141" s="229" t="str">
        <f xml:space="preserve"> _xlfn.CONCAT(C_1[[#This Row],[ESCALATE]], "-",C_1[[#This Row],[Row_PM]])</f>
        <v>-</v>
      </c>
      <c r="S141" s="229" t="str">
        <f xml:space="preserve"> _xlfn.CONCAT(C_1[[#This Row],[ESCALATE]], "-",C_1[[#This Row],[Notify_PM]])</f>
        <v>--</v>
      </c>
      <c r="T141" s="229">
        <f>ROW()</f>
        <v>141</v>
      </c>
      <c r="U141" s="229" t="str">
        <f>IF(C_1[[#This Row],[OWNER NAME 1]] = "", "",
   IF(_xlfn.XLOOKUP(C_1[[#This Row],[OWNER NAME 1]],OWNER_LIST[Owner Name], OWNER_LIST[Email], "") = "", "",
      _xlfn.XLOOKUP(C_1[[#This Row],[OWNER NAME 1]], OWNER_LIST[Owner Name], OWNER_LIST[Email], "")))</f>
        <v>leonardo.valentinotti@rpn-sa.ch</v>
      </c>
      <c r="V141" s="229" t="str">
        <f>IF(C_1[[#This Row],[OWNER NAME 2]] = "", "",
   IF(_xlfn.XLOOKUP(C_1[[#This Row],[OWNER NAME 2]],OWNER_LIST[Owner Name], OWNER_LIST[Email], "") = "", "",
      _xlfn.XLOOKUP(C_1[[#This Row],[OWNER NAME 2]], OWNER_LIST[Owner Name], OWNER_LIST[Email], "")))</f>
        <v/>
      </c>
      <c r="W141" s="229" t="str">
        <f t="shared" si="10"/>
        <v>C1</v>
      </c>
      <c r="X141" s="229" t="str">
        <f>IF(
    OR(
        AND(
            NOT(ISBLANK(C_1[[#This Row],[DESCRIPTION -  INFORMATION LOG]])),
            C_1[[#This Row],[DESCRIPTION -  INFORMATION LOG]] &lt;&gt; "DESCRIPTION -  INFORMATION LOG"
        ),
        NOT(ISBLANK(C_1[[#This Row],[ACTION REQUIRED]]))
    ),
    "Y",
    "N"
)</f>
        <v>Y</v>
      </c>
      <c r="Y141" s="208"/>
      <c r="Z141" s="208"/>
    </row>
    <row r="142" spans="1:26">
      <c r="A142" s="129" t="s">
        <v>335</v>
      </c>
      <c r="B142" s="314" t="s">
        <v>387</v>
      </c>
      <c r="C142" s="152" t="s">
        <v>95</v>
      </c>
      <c r="D142" s="144" t="s">
        <v>82</v>
      </c>
      <c r="E142" s="311" t="s">
        <v>388</v>
      </c>
      <c r="F142" s="311" t="s">
        <v>389</v>
      </c>
      <c r="G142" s="197" t="s">
        <v>77</v>
      </c>
      <c r="H142" s="93">
        <v>46062</v>
      </c>
      <c r="I142" s="132" t="str" cm="1">
        <f t="array" ref="I142">IFERROR(_xlfn.TEXTJOIN(" / ", TRUE, IF(OWNER_LIST[Owner Name]=C_1[[#This Row],[OWNER NAME 1]], OWNER_LIST[Owner ORG], ""), IF(OWNER_LIST[Owner Name]=C_1[[#This Row],[OWNER NAME 2]], OWNER_LIST[Owner ORG], "")), "")</f>
        <v>RPN</v>
      </c>
      <c r="J142" s="83" t="s">
        <v>33</v>
      </c>
      <c r="K142" s="262"/>
      <c r="L142" s="262"/>
      <c r="M142" s="263"/>
      <c r="N142" s="312"/>
      <c r="O142" s="313"/>
      <c r="P142" s="313"/>
      <c r="Q142" s="229"/>
      <c r="R142" s="229" t="str">
        <f xml:space="preserve"> _xlfn.CONCAT(C_1[[#This Row],[ESCALATE]], "-",C_1[[#This Row],[Row_PM]])</f>
        <v>-</v>
      </c>
      <c r="S142" s="229" t="str">
        <f xml:space="preserve"> _xlfn.CONCAT(C_1[[#This Row],[ESCALATE]], "-",C_1[[#This Row],[Notify_PM]])</f>
        <v>--</v>
      </c>
      <c r="T142" s="229">
        <f>ROW()</f>
        <v>142</v>
      </c>
      <c r="U142" s="229" t="str">
        <f>IF(C_1[[#This Row],[OWNER NAME 1]] = "", "",
   IF(_xlfn.XLOOKUP(C_1[[#This Row],[OWNER NAME 1]],OWNER_LIST[Owner Name], OWNER_LIST[Email], "") = "", "",
      _xlfn.XLOOKUP(C_1[[#This Row],[OWNER NAME 1]], OWNER_LIST[Owner Name], OWNER_LIST[Email], "")))</f>
        <v>leonardo.valentinotti@rpn-sa.ch</v>
      </c>
      <c r="V142" s="229" t="str">
        <f>IF(C_1[[#This Row],[OWNER NAME 2]] = "", "",
   IF(_xlfn.XLOOKUP(C_1[[#This Row],[OWNER NAME 2]],OWNER_LIST[Owner Name], OWNER_LIST[Email], "") = "", "",
      _xlfn.XLOOKUP(C_1[[#This Row],[OWNER NAME 2]], OWNER_LIST[Owner Name], OWNER_LIST[Email], "")))</f>
        <v/>
      </c>
      <c r="W142" s="229" t="str">
        <f>$A$37</f>
        <v>C1</v>
      </c>
      <c r="X142" s="229" t="str">
        <f>IF(
    OR(
        AND(
            NOT(ISBLANK(C_1[[#This Row],[DESCRIPTION -  INFORMATION LOG]])),
            C_1[[#This Row],[DESCRIPTION -  INFORMATION LOG]] &lt;&gt; "DESCRIPTION -  INFORMATION LOG"
        ),
        NOT(ISBLANK(C_1[[#This Row],[ACTION REQUIRED]]))
    ),
    "Y",
    "N"
)</f>
        <v>Y</v>
      </c>
      <c r="Y142" s="208"/>
      <c r="Z142" s="208"/>
    </row>
    <row r="143" spans="1:26">
      <c r="A143" s="129" t="s">
        <v>347</v>
      </c>
      <c r="B143" s="211"/>
      <c r="C143" s="152" t="s">
        <v>95</v>
      </c>
      <c r="D143" s="144" t="s">
        <v>82</v>
      </c>
      <c r="E143" s="290" t="s">
        <v>390</v>
      </c>
      <c r="F143" s="290" t="s">
        <v>391</v>
      </c>
      <c r="G143" s="80" t="s">
        <v>85</v>
      </c>
      <c r="H143" s="93"/>
      <c r="I143" s="196"/>
      <c r="J143" s="83" t="s">
        <v>33</v>
      </c>
      <c r="K143" s="83"/>
      <c r="L143" s="83"/>
      <c r="M143" s="133"/>
      <c r="N143" s="207"/>
      <c r="O143" s="208"/>
      <c r="P143" s="208"/>
      <c r="Q143" s="229"/>
      <c r="R143" s="229" t="str">
        <f xml:space="preserve"> _xlfn.CONCAT(C_1[[#This Row],[ESCALATE]], "-",C_1[[#This Row],[Row_PM]])</f>
        <v>-</v>
      </c>
      <c r="S143" s="229" t="str">
        <f xml:space="preserve"> _xlfn.CONCAT(C_1[[#This Row],[ESCALATE]], "-",C_1[[#This Row],[Notify_PM]])</f>
        <v>--</v>
      </c>
      <c r="T143" s="229">
        <f>ROW()</f>
        <v>143</v>
      </c>
      <c r="U143" s="229" t="str">
        <f>IF(C_1[[#This Row],[OWNER NAME 1]] = "", "",
   IF(_xlfn.XLOOKUP(C_1[[#This Row],[OWNER NAME 1]],OWNER_LIST[Owner Name], OWNER_LIST[Email], "") = "", "",
      _xlfn.XLOOKUP(C_1[[#This Row],[OWNER NAME 1]], OWNER_LIST[Owner Name], OWNER_LIST[Email], "")))</f>
        <v>leonardo.valentinotti@rpn-sa.ch</v>
      </c>
      <c r="V143" s="229" t="str">
        <f>IF(C_1[[#This Row],[OWNER NAME 2]] = "", "",
   IF(_xlfn.XLOOKUP(C_1[[#This Row],[OWNER NAME 2]],OWNER_LIST[Owner Name], OWNER_LIST[Email], "") = "", "",
      _xlfn.XLOOKUP(C_1[[#This Row],[OWNER NAME 2]], OWNER_LIST[Owner Name], OWNER_LIST[Email], "")))</f>
        <v/>
      </c>
      <c r="W143" s="229" t="str">
        <f>$A$37</f>
        <v>C1</v>
      </c>
      <c r="X143" s="229" t="str">
        <f>IF(
    OR(
        AND(
            NOT(ISBLANK(C_1[[#This Row],[DESCRIPTION -  INFORMATION LOG]])),
            C_1[[#This Row],[DESCRIPTION -  INFORMATION LOG]] &lt;&gt; "DESCRIPTION -  INFORMATION LOG"
        ),
        NOT(ISBLANK(C_1[[#This Row],[ACTION REQUIRED]]))
    ),
    "Y",
    "N"
)</f>
        <v>Y</v>
      </c>
      <c r="Y143" s="208"/>
      <c r="Z143" s="208"/>
    </row>
    <row r="144" spans="1:26">
      <c r="A144" s="129"/>
      <c r="B144" s="211"/>
      <c r="C144" s="152"/>
      <c r="D144" s="144"/>
      <c r="E144" s="209"/>
      <c r="F144" s="209"/>
      <c r="G144" s="125"/>
      <c r="H144" s="93"/>
      <c r="I144" s="132"/>
      <c r="J144" s="83"/>
      <c r="K144" s="83"/>
      <c r="L144" s="83"/>
      <c r="M144" s="133"/>
      <c r="N144" s="207"/>
      <c r="O144" s="208"/>
      <c r="P144" s="208"/>
      <c r="Q144" s="229"/>
      <c r="R144" s="229" t="str">
        <f xml:space="preserve"> _xlfn.CONCAT(C_1[[#This Row],[ESCALATE]], "-",C_1[[#This Row],[Row_PM]])</f>
        <v>-</v>
      </c>
      <c r="S144" s="229" t="str">
        <f xml:space="preserve"> _xlfn.CONCAT(C_1[[#This Row],[ESCALATE]], "-",C_1[[#This Row],[Notify_PM]])</f>
        <v>--</v>
      </c>
      <c r="T144" s="229">
        <f>ROW()</f>
        <v>144</v>
      </c>
      <c r="U144" s="229" t="str">
        <f>IF(C_1[[#This Row],[OWNER NAME 1]] = "", "",
   IF(_xlfn.XLOOKUP(C_1[[#This Row],[OWNER NAME 1]],OWNER_LIST[Owner Name], OWNER_LIST[Email], "") = "", "",
      _xlfn.XLOOKUP(C_1[[#This Row],[OWNER NAME 1]], OWNER_LIST[Owner Name], OWNER_LIST[Email], "")))</f>
        <v/>
      </c>
      <c r="V144" s="229" t="str">
        <f>IF(C_1[[#This Row],[OWNER NAME 2]] = "", "",
   IF(_xlfn.XLOOKUP(C_1[[#This Row],[OWNER NAME 2]],OWNER_LIST[Owner Name], OWNER_LIST[Email], "") = "", "",
      _xlfn.XLOOKUP(C_1[[#This Row],[OWNER NAME 2]], OWNER_LIST[Owner Name], OWNER_LIST[Email], "")))</f>
        <v/>
      </c>
      <c r="W144" s="229" t="str">
        <f>$A$37</f>
        <v>C1</v>
      </c>
      <c r="X144" s="229" t="str">
        <f>IF(
    OR(
        AND(
            NOT(ISBLANK(C_1[[#This Row],[DESCRIPTION -  INFORMATION LOG]])),
            C_1[[#This Row],[DESCRIPTION -  INFORMATION LOG]] &lt;&gt; "DESCRIPTION -  INFORMATION LOG"
        ),
        NOT(ISBLANK(C_1[[#This Row],[ACTION REQUIRED]]))
    ),
    "Y",
    "N"
)</f>
        <v>N</v>
      </c>
      <c r="Y144" s="208"/>
      <c r="Z144" s="208"/>
    </row>
    <row r="145" spans="1:26">
      <c r="A145" s="91"/>
      <c r="B145" s="46"/>
      <c r="C145" s="92"/>
      <c r="D145" s="46"/>
      <c r="E145" s="46"/>
      <c r="F145" s="46"/>
      <c r="G145" s="80"/>
      <c r="H145" s="93"/>
      <c r="I145" s="80" t="str" cm="1">
        <f t="array" ref="I145">IFERROR(_xlfn.TEXTJOIN(" / ", TRUE, IF(OWNER_LIST[Owner Name]=C_1[[#This Row],[OWNER NAME 1]], OWNER_LIST[Owner ORG], ""), IF(OWNER_LIST[Owner Name]=C_1[[#This Row],[OWNER NAME 2]], OWNER_LIST[Owner ORG], "")), "")</f>
        <v/>
      </c>
      <c r="J145" s="94"/>
      <c r="K145" s="95"/>
      <c r="L145" s="95"/>
      <c r="M145" s="93"/>
      <c r="N145" s="82"/>
      <c r="O145" s="208"/>
      <c r="P145" s="85"/>
      <c r="Q145" s="238"/>
      <c r="R145" s="229" t="str">
        <f xml:space="preserve"> _xlfn.CONCAT(C_1[[#This Row],[ESCALATE]], "-",C_1[[#This Row],[Row_PM]])</f>
        <v>-</v>
      </c>
      <c r="S145" s="229" t="str">
        <f xml:space="preserve"> _xlfn.CONCAT(C_1[[#This Row],[ESCALATE]], "-",C_1[[#This Row],[Notify_PM]])</f>
        <v>--</v>
      </c>
      <c r="T145" s="233">
        <f>ROW()</f>
        <v>145</v>
      </c>
      <c r="U145" s="231" t="str">
        <f>IF(C_1[[#This Row],[OWNER NAME 1]] = "", "",
   IF(_xlfn.XLOOKUP(C_1[[#This Row],[OWNER NAME 1]],OWNER_LIST[Owner Name], OWNER_LIST[Email], "") = "", "",
      _xlfn.XLOOKUP(C_1[[#This Row],[OWNER NAME 1]], OWNER_LIST[Owner Name], OWNER_LIST[Email], "")))</f>
        <v/>
      </c>
      <c r="V145" s="231" t="str">
        <f>IF(C_1[[#This Row],[OWNER NAME 2]] = "", "",
   IF(_xlfn.XLOOKUP(C_1[[#This Row],[OWNER NAME 2]],OWNER_LIST[Owner Name], OWNER_LIST[Email], "") = "", "",
      _xlfn.XLOOKUP(C_1[[#This Row],[OWNER NAME 2]], OWNER_LIST[Owner Name], OWNER_LIST[Email], "")))</f>
        <v/>
      </c>
      <c r="W145" s="233" t="str">
        <f>$A$37</f>
        <v>C1</v>
      </c>
      <c r="X145" s="234" t="str">
        <f>IF(
    OR(
        AND(
            NOT(ISBLANK(C_1[[#This Row],[DESCRIPTION -  INFORMATION LOG]])),
            C_1[[#This Row],[DESCRIPTION -  INFORMATION LOG]] &lt;&gt; "DESCRIPTION -  INFORMATION LOG"
        ),
        NOT(ISBLANK(C_1[[#This Row],[ACTION REQUIRED]]))
    ),
    "Y",
    "N"
)</f>
        <v>N</v>
      </c>
      <c r="Y145" s="208"/>
      <c r="Z145" s="208"/>
    </row>
    <row r="146" spans="1:26">
      <c r="A146" s="64" t="s">
        <v>392</v>
      </c>
      <c r="B146" s="65" t="s">
        <v>393</v>
      </c>
      <c r="C146" s="65"/>
      <c r="D146" s="64"/>
      <c r="E146" s="65"/>
      <c r="F146" s="64"/>
      <c r="G146" s="66"/>
      <c r="H146" s="67"/>
      <c r="I146" s="66"/>
      <c r="J146" s="64"/>
      <c r="K146" s="64"/>
      <c r="L146" s="64"/>
      <c r="M146" s="67"/>
      <c r="N146" s="67"/>
      <c r="O146" s="64"/>
      <c r="P146" s="64"/>
      <c r="Q146" s="235"/>
      <c r="R146" s="235"/>
      <c r="S146" s="235"/>
      <c r="T146" s="236"/>
      <c r="U146" s="237"/>
      <c r="V146" s="237"/>
      <c r="W146" s="236"/>
      <c r="X146" s="228" t="str">
        <f>IF(
    OR(
        AND(
            NOT(ISBLANK(C_1[[#This Row],[DESCRIPTION -  INFORMATION LOG]])),
            C_1[[#This Row],[DESCRIPTION -  INFORMATION LOG]] &lt;&gt; "DESCRIPTION -  INFORMATION LOG"
        ),
        NOT(ISBLANK(C_1[[#This Row],[ACTION REQUIRED]]))
    ),
    "Y",
    "N"
)</f>
        <v>N</v>
      </c>
      <c r="Y146" s="208"/>
      <c r="Z146" s="208"/>
    </row>
    <row r="147" spans="1:26" ht="60.75">
      <c r="A147" s="269" t="s">
        <v>394</v>
      </c>
      <c r="B147" s="314" t="s">
        <v>395</v>
      </c>
      <c r="C147" s="167" t="s">
        <v>95</v>
      </c>
      <c r="D147" s="307" t="s">
        <v>82</v>
      </c>
      <c r="E147" s="311" t="s">
        <v>396</v>
      </c>
      <c r="F147" s="318" t="s">
        <v>397</v>
      </c>
      <c r="G147" s="273" t="s">
        <v>85</v>
      </c>
      <c r="H147" s="270">
        <v>46064</v>
      </c>
      <c r="I147" s="132" t="str" cm="1">
        <f t="array" ref="I147">IFERROR(_xlfn.TEXTJOIN(" / ", TRUE, IF(OWNER_LIST[Owner Name]=C_1[[#This Row],[OWNER NAME 1]], OWNER_LIST[Owner ORG], ""), IF(OWNER_LIST[Owner Name]=C_1[[#This Row],[OWNER NAME 2]], OWNER_LIST[Owner ORG], "")), "")</f>
        <v>RPN / RPN</v>
      </c>
      <c r="J147" s="262" t="s">
        <v>33</v>
      </c>
      <c r="K147" s="262" t="s">
        <v>25</v>
      </c>
      <c r="L147" s="262"/>
      <c r="M147" s="263"/>
      <c r="N147" s="312"/>
      <c r="O147" s="313"/>
      <c r="P147" s="313"/>
      <c r="Q147" s="229"/>
      <c r="R147" s="229" t="str">
        <f xml:space="preserve"> _xlfn.CONCAT(C_1[[#This Row],[ESCALATE]], "-",C_1[[#This Row],[Row_PM]])</f>
        <v>-</v>
      </c>
      <c r="S147" s="229" t="str">
        <f xml:space="preserve"> _xlfn.CONCAT(C_1[[#This Row],[ESCALATE]], "-",C_1[[#This Row],[Notify_PM]])</f>
        <v>--</v>
      </c>
      <c r="T147" s="230">
        <f>ROW()</f>
        <v>147</v>
      </c>
      <c r="U147" s="231" t="str">
        <f>IF(C_1[[#This Row],[OWNER NAME 1]] = "", "",
   IF(_xlfn.XLOOKUP(C_1[[#This Row],[OWNER NAME 1]],OWNER_LIST[Owner Name], OWNER_LIST[Email], "") = "", "",
      _xlfn.XLOOKUP(C_1[[#This Row],[OWNER NAME 1]], OWNER_LIST[Owner Name], OWNER_LIST[Email], "")))</f>
        <v>leonardo.valentinotti@rpn-sa.ch</v>
      </c>
      <c r="V147" s="231" t="str">
        <f>IF(C_1[[#This Row],[OWNER NAME 2]] = "", "",
   IF(_xlfn.XLOOKUP(C_1[[#This Row],[OWNER NAME 2]],OWNER_LIST[Owner Name], OWNER_LIST[Email], "") = "", "",
      _xlfn.XLOOKUP(C_1[[#This Row],[OWNER NAME 2]], OWNER_LIST[Owner Name], OWNER_LIST[Email], "")))</f>
        <v>matteo.naldi@cmbcarpi.it</v>
      </c>
      <c r="W147" s="230" t="str">
        <f>$A$37</f>
        <v>C1</v>
      </c>
      <c r="X147" s="232" t="str">
        <f>IF(
    OR(
        AND(
            NOT(ISBLANK(C_1[[#This Row],[DESCRIPTION -  INFORMATION LOG]])),
            C_1[[#This Row],[DESCRIPTION -  INFORMATION LOG]] &lt;&gt; "DESCRIPTION -  INFORMATION LOG"
        ),
        NOT(ISBLANK(C_1[[#This Row],[ACTION REQUIRED]]))
    ),
    "Y",
    "N"
)</f>
        <v>Y</v>
      </c>
      <c r="Y147" s="208"/>
      <c r="Z147" s="208"/>
    </row>
    <row r="148" spans="1:26" ht="152.25">
      <c r="A148" s="129" t="s">
        <v>398</v>
      </c>
      <c r="B148" s="211" t="s">
        <v>399</v>
      </c>
      <c r="C148" s="152" t="s">
        <v>95</v>
      </c>
      <c r="D148" s="306" t="s">
        <v>82</v>
      </c>
      <c r="E148" s="276" t="s">
        <v>400</v>
      </c>
      <c r="F148" s="276" t="s">
        <v>401</v>
      </c>
      <c r="G148" s="284" t="s">
        <v>85</v>
      </c>
      <c r="H148" s="142">
        <v>46056</v>
      </c>
      <c r="I148" s="132" t="str" cm="1">
        <f t="array" ref="I148">IFERROR(_xlfn.TEXTJOIN(" / ", TRUE, IF(OWNER_LIST[Owner Name]=C_1[[#This Row],[OWNER NAME 1]], OWNER_LIST[Owner ORG], ""), IF(OWNER_LIST[Owner Name]=C_1[[#This Row],[OWNER NAME 2]], OWNER_LIST[Owner ORG], "")), "")</f>
        <v>RPN / SBIS</v>
      </c>
      <c r="J148" s="83" t="s">
        <v>25</v>
      </c>
      <c r="K148" s="83" t="s">
        <v>307</v>
      </c>
      <c r="L148" s="83"/>
      <c r="M148" s="133"/>
      <c r="N148" s="207"/>
      <c r="O148" s="208"/>
      <c r="P148" s="208"/>
      <c r="Q148" s="229"/>
      <c r="R148" s="229" t="str">
        <f xml:space="preserve"> _xlfn.CONCAT(C_1[[#This Row],[ESCALATE]], "-",C_1[[#This Row],[Row_PM]])</f>
        <v>-</v>
      </c>
      <c r="S148" s="229" t="str">
        <f xml:space="preserve"> _xlfn.CONCAT(C_1[[#This Row],[ESCALATE]], "-",C_1[[#This Row],[Notify_PM]])</f>
        <v>--</v>
      </c>
      <c r="T148" s="229">
        <f>ROW()</f>
        <v>148</v>
      </c>
      <c r="U148" s="229" t="str">
        <f>IF(C_1[[#This Row],[OWNER NAME 1]] = "", "",
   IF(_xlfn.XLOOKUP(C_1[[#This Row],[OWNER NAME 1]],OWNER_LIST[Owner Name], OWNER_LIST[Email], "") = "", "",
      _xlfn.XLOOKUP(C_1[[#This Row],[OWNER NAME 1]], OWNER_LIST[Owner Name], OWNER_LIST[Email], "")))</f>
        <v>matteo.naldi@cmbcarpi.it</v>
      </c>
      <c r="V148" s="229" t="str">
        <f>IF(C_1[[#This Row],[OWNER NAME 2]] = "", "",
   IF(_xlfn.XLOOKUP(C_1[[#This Row],[OWNER NAME 2]],OWNER_LIST[Owner Name], OWNER_LIST[Email], "") = "", "",
      _xlfn.XLOOKUP(C_1[[#This Row],[OWNER NAME 2]], OWNER_LIST[Owner Name], OWNER_LIST[Email], "")))</f>
        <v>olivier.zuercher@sbis.ch</v>
      </c>
      <c r="W148" s="229" t="str">
        <f t="shared" si="2"/>
        <v>C1</v>
      </c>
      <c r="X148" s="229" t="str">
        <f>IF(
    OR(
        AND(
            NOT(ISBLANK(C_1[[#This Row],[DESCRIPTION -  INFORMATION LOG]])),
            C_1[[#This Row],[DESCRIPTION -  INFORMATION LOG]] &lt;&gt; "DESCRIPTION -  INFORMATION LOG"
        ),
        NOT(ISBLANK(C_1[[#This Row],[ACTION REQUIRED]]))
    ),
    "Y",
    "N"
)</f>
        <v>Y</v>
      </c>
      <c r="Y148" s="208"/>
      <c r="Z148" s="208"/>
    </row>
    <row r="149" spans="1:26" ht="30.75">
      <c r="A149" s="276" t="s">
        <v>402</v>
      </c>
      <c r="B149" s="314" t="s">
        <v>403</v>
      </c>
      <c r="C149" s="276" t="s">
        <v>95</v>
      </c>
      <c r="D149" s="305" t="s">
        <v>82</v>
      </c>
      <c r="E149" s="277" t="s">
        <v>404</v>
      </c>
      <c r="F149" s="277" t="s">
        <v>405</v>
      </c>
      <c r="G149" s="284" t="s">
        <v>85</v>
      </c>
      <c r="H149" s="142">
        <v>46056</v>
      </c>
      <c r="I149" s="132" t="str" cm="1">
        <f t="array" ref="I149">IFERROR(_xlfn.TEXTJOIN(" / ", TRUE, IF(OWNER_LIST[Owner Name]=C_1[[#This Row],[OWNER NAME 1]], OWNER_LIST[Owner ORG], ""), IF(OWNER_LIST[Owner Name]=C_1[[#This Row],[OWNER NAME 2]], OWNER_LIST[Owner ORG], "")), "")</f>
        <v>RPN / SHP</v>
      </c>
      <c r="J149" s="262" t="s">
        <v>98</v>
      </c>
      <c r="K149" s="262" t="s">
        <v>46</v>
      </c>
      <c r="L149" s="262"/>
      <c r="M149" s="301"/>
      <c r="N149" s="315"/>
      <c r="O149" s="313"/>
      <c r="P149" s="313"/>
      <c r="Q149" s="229"/>
      <c r="R149" s="229" t="str">
        <f xml:space="preserve"> _xlfn.CONCAT(C_1[[#This Row],[ESCALATE]], "-",C_1[[#This Row],[Row_PM]])</f>
        <v>-</v>
      </c>
      <c r="S149" s="229" t="str">
        <f xml:space="preserve"> _xlfn.CONCAT(C_1[[#This Row],[ESCALATE]], "-",C_1[[#This Row],[Notify_PM]])</f>
        <v>--</v>
      </c>
      <c r="T149" s="229">
        <f>ROW()</f>
        <v>149</v>
      </c>
      <c r="U149" s="229" t="str">
        <f>IF(C_1[[#This Row],[OWNER NAME 1]] = "", "",
   IF(_xlfn.XLOOKUP(C_1[[#This Row],[OWNER NAME 1]],OWNER_LIST[Owner Name], OWNER_LIST[Email], "") = "", "",
      _xlfn.XLOOKUP(C_1[[#This Row],[OWNER NAME 1]], OWNER_LIST[Owner Name], OWNER_LIST[Email], "")))</f>
        <v>davide.cirillo@cmbcarpi.it</v>
      </c>
      <c r="V149" s="229" t="str">
        <f>IF(C_1[[#This Row],[OWNER NAME 2]] = "", "",
   IF(_xlfn.XLOOKUP(C_1[[#This Row],[OWNER NAME 2]],OWNER_LIST[Owner Name], OWNER_LIST[Email], "") = "", "",
      _xlfn.XLOOKUP(C_1[[#This Row],[OWNER NAME 2]], OWNER_LIST[Owner Name], OWNER_LIST[Email], "")))</f>
        <v>didier.dequatre@un.org</v>
      </c>
      <c r="W149" s="229" t="str">
        <f>$A$37</f>
        <v>C1</v>
      </c>
      <c r="X149" s="229" t="str">
        <f>IF(
    OR(
        AND(
            NOT(ISBLANK(C_1[[#This Row],[DESCRIPTION -  INFORMATION LOG]])),
            C_1[[#This Row],[DESCRIPTION -  INFORMATION LOG]] &lt;&gt; "DESCRIPTION -  INFORMATION LOG"
        ),
        NOT(ISBLANK(C_1[[#This Row],[ACTION REQUIRED]]))
    ),
    "Y",
    "N"
)</f>
        <v>Y</v>
      </c>
      <c r="Y149" s="208"/>
      <c r="Z149" s="208"/>
    </row>
    <row r="150" spans="1:26">
      <c r="A150" s="276" t="s">
        <v>406</v>
      </c>
      <c r="B150" s="314" t="s">
        <v>407</v>
      </c>
      <c r="C150" s="276" t="s">
        <v>95</v>
      </c>
      <c r="D150" s="305" t="s">
        <v>82</v>
      </c>
      <c r="E150" s="276"/>
      <c r="F150" s="277" t="s">
        <v>408</v>
      </c>
      <c r="G150" s="284" t="s">
        <v>85</v>
      </c>
      <c r="H150" s="142">
        <v>46056</v>
      </c>
      <c r="I150" s="132" t="str" cm="1">
        <f t="array" ref="I150">IFERROR(_xlfn.TEXTJOIN(" / ", TRUE, IF(OWNER_LIST[Owner Name]=C_1[[#This Row],[OWNER NAME 1]], OWNER_LIST[Owner ORG], ""), IF(OWNER_LIST[Owner Name]=C_1[[#This Row],[OWNER NAME 2]], OWNER_LIST[Owner ORG], "")), "")</f>
        <v>SOMBP</v>
      </c>
      <c r="J150" s="262" t="s">
        <v>44</v>
      </c>
      <c r="K150" s="262"/>
      <c r="L150" s="262"/>
      <c r="M150" s="301"/>
      <c r="N150" s="315"/>
      <c r="O150" s="313"/>
      <c r="P150" s="313"/>
      <c r="Q150" s="229"/>
      <c r="R150" s="229" t="str">
        <f xml:space="preserve"> _xlfn.CONCAT(C_1[[#This Row],[ESCALATE]], "-",C_1[[#This Row],[Row_PM]])</f>
        <v>-</v>
      </c>
      <c r="S150" s="229" t="str">
        <f xml:space="preserve"> _xlfn.CONCAT(C_1[[#This Row],[ESCALATE]], "-",C_1[[#This Row],[Notify_PM]])</f>
        <v>--</v>
      </c>
      <c r="T150" s="229">
        <f>ROW()</f>
        <v>150</v>
      </c>
      <c r="U150" s="229" t="str">
        <f>IF(C_1[[#This Row],[OWNER NAME 1]] = "", "",
   IF(_xlfn.XLOOKUP(C_1[[#This Row],[OWNER NAME 1]],OWNER_LIST[Owner Name], OWNER_LIST[Email], "") = "", "",
      _xlfn.XLOOKUP(C_1[[#This Row],[OWNER NAME 1]], OWNER_LIST[Owner Name], OWNER_LIST[Email], "")))</f>
        <v>lucille.treilledegrandsaigne@burckhardt.swiss</v>
      </c>
      <c r="V150" s="229" t="str">
        <f>IF(C_1[[#This Row],[OWNER NAME 2]] = "", "",
   IF(_xlfn.XLOOKUP(C_1[[#This Row],[OWNER NAME 2]],OWNER_LIST[Owner Name], OWNER_LIST[Email], "") = "", "",
      _xlfn.XLOOKUP(C_1[[#This Row],[OWNER NAME 2]], OWNER_LIST[Owner Name], OWNER_LIST[Email], "")))</f>
        <v/>
      </c>
      <c r="W150" s="229" t="str">
        <f>$A$37</f>
        <v>C1</v>
      </c>
      <c r="X150" s="229" t="str">
        <f>IF(
    OR(
        AND(
            NOT(ISBLANK(C_1[[#This Row],[DESCRIPTION -  INFORMATION LOG]])),
            C_1[[#This Row],[DESCRIPTION -  INFORMATION LOG]] &lt;&gt; "DESCRIPTION -  INFORMATION LOG"
        ),
        NOT(ISBLANK(C_1[[#This Row],[ACTION REQUIRED]]))
    ),
    "Y",
    "N"
)</f>
        <v>Y</v>
      </c>
      <c r="Y150" s="208"/>
      <c r="Z150" s="208"/>
    </row>
    <row r="151" spans="1:26">
      <c r="A151" s="276"/>
      <c r="B151" s="314"/>
      <c r="C151" s="276"/>
      <c r="D151" s="305"/>
      <c r="E151" s="276"/>
      <c r="F151" s="276"/>
      <c r="G151" s="287"/>
      <c r="H151" s="303"/>
      <c r="I151" s="261"/>
      <c r="J151" s="262"/>
      <c r="K151" s="262"/>
      <c r="L151" s="262"/>
      <c r="M151" s="301"/>
      <c r="N151" s="315"/>
      <c r="O151" s="313"/>
      <c r="P151" s="313"/>
      <c r="Q151" s="229"/>
      <c r="R151" s="229" t="str">
        <f xml:space="preserve"> _xlfn.CONCAT(C_1[[#This Row],[ESCALATE]], "-",C_1[[#This Row],[Row_PM]])</f>
        <v>-</v>
      </c>
      <c r="S151" s="229" t="str">
        <f xml:space="preserve"> _xlfn.CONCAT(C_1[[#This Row],[ESCALATE]], "-",C_1[[#This Row],[Notify_PM]])</f>
        <v>--</v>
      </c>
      <c r="T151" s="229">
        <f>ROW()</f>
        <v>151</v>
      </c>
      <c r="U151" s="229" t="str">
        <f>IF(C_1[[#This Row],[OWNER NAME 1]] = "", "",
   IF(_xlfn.XLOOKUP(C_1[[#This Row],[OWNER NAME 1]],OWNER_LIST[Owner Name], OWNER_LIST[Email], "") = "", "",
      _xlfn.XLOOKUP(C_1[[#This Row],[OWNER NAME 1]], OWNER_LIST[Owner Name], OWNER_LIST[Email], "")))</f>
        <v/>
      </c>
      <c r="V151" s="229" t="str">
        <f>IF(C_1[[#This Row],[OWNER NAME 2]] = "", "",
   IF(_xlfn.XLOOKUP(C_1[[#This Row],[OWNER NAME 2]],OWNER_LIST[Owner Name], OWNER_LIST[Email], "") = "", "",
      _xlfn.XLOOKUP(C_1[[#This Row],[OWNER NAME 2]], OWNER_LIST[Owner Name], OWNER_LIST[Email], "")))</f>
        <v/>
      </c>
      <c r="W151" s="229" t="str">
        <f>$A$37</f>
        <v>C1</v>
      </c>
      <c r="X151" s="229" t="str">
        <f>IF(
    OR(
        AND(
            NOT(ISBLANK(C_1[[#This Row],[DESCRIPTION -  INFORMATION LOG]])),
            C_1[[#This Row],[DESCRIPTION -  INFORMATION LOG]] &lt;&gt; "DESCRIPTION -  INFORMATION LOG"
        ),
        NOT(ISBLANK(C_1[[#This Row],[ACTION REQUIRED]]))
    ),
    "Y",
    "N"
)</f>
        <v>N</v>
      </c>
      <c r="Y151" s="208"/>
      <c r="Z151" s="208"/>
    </row>
    <row r="152" spans="1:26">
      <c r="A152" s="64" t="s">
        <v>409</v>
      </c>
      <c r="B152" s="65" t="s">
        <v>410</v>
      </c>
      <c r="C152" s="65"/>
      <c r="D152" s="64"/>
      <c r="E152" s="65"/>
      <c r="F152" s="64"/>
      <c r="G152" s="66"/>
      <c r="H152" s="67"/>
      <c r="I152" s="66"/>
      <c r="J152" s="64"/>
      <c r="K152" s="64"/>
      <c r="L152" s="64"/>
      <c r="M152" s="67"/>
      <c r="N152" s="315"/>
      <c r="O152" s="313"/>
      <c r="P152" s="313"/>
      <c r="Q152" s="229"/>
      <c r="R152" s="229" t="str">
        <f xml:space="preserve"> _xlfn.CONCAT(C_1[[#This Row],[ESCALATE]], "-",C_1[[#This Row],[Row_PM]])</f>
        <v>-</v>
      </c>
      <c r="S152" s="229" t="str">
        <f xml:space="preserve"> _xlfn.CONCAT(C_1[[#This Row],[ESCALATE]], "-",C_1[[#This Row],[Notify_PM]])</f>
        <v>--</v>
      </c>
      <c r="T152" s="229">
        <f>ROW()</f>
        <v>152</v>
      </c>
      <c r="U152" s="229" t="str">
        <f>IF(C_1[[#This Row],[OWNER NAME 1]] = "", "",
   IF(_xlfn.XLOOKUP(C_1[[#This Row],[OWNER NAME 1]],OWNER_LIST[Owner Name], OWNER_LIST[Email], "") = "", "",
      _xlfn.XLOOKUP(C_1[[#This Row],[OWNER NAME 1]], OWNER_LIST[Owner Name], OWNER_LIST[Email], "")))</f>
        <v/>
      </c>
      <c r="V152" s="229" t="str">
        <f>IF(C_1[[#This Row],[OWNER NAME 2]] = "", "",
   IF(_xlfn.XLOOKUP(C_1[[#This Row],[OWNER NAME 2]],OWNER_LIST[Owner Name], OWNER_LIST[Email], "") = "", "",
      _xlfn.XLOOKUP(C_1[[#This Row],[OWNER NAME 2]], OWNER_LIST[Owner Name], OWNER_LIST[Email], "")))</f>
        <v/>
      </c>
      <c r="W152" s="229" t="str">
        <f>$A$37</f>
        <v>C1</v>
      </c>
      <c r="X152" s="229" t="str">
        <f>IF(
    OR(
        AND(
            NOT(ISBLANK(C_1[[#This Row],[DESCRIPTION -  INFORMATION LOG]])),
            C_1[[#This Row],[DESCRIPTION -  INFORMATION LOG]] &lt;&gt; "DESCRIPTION -  INFORMATION LOG"
        ),
        NOT(ISBLANK(C_1[[#This Row],[ACTION REQUIRED]]))
    ),
    "Y",
    "N"
)</f>
        <v>N</v>
      </c>
      <c r="Y152" s="208"/>
      <c r="Z152" s="208"/>
    </row>
    <row r="153" spans="1:26" ht="45.75">
      <c r="A153" s="129"/>
      <c r="B153" s="211" t="s">
        <v>411</v>
      </c>
      <c r="C153" s="152" t="s">
        <v>81</v>
      </c>
      <c r="D153" s="144" t="s">
        <v>82</v>
      </c>
      <c r="E153" s="129" t="s">
        <v>412</v>
      </c>
      <c r="F153" s="129"/>
      <c r="G153" s="154"/>
      <c r="H153" s="93"/>
      <c r="I153" s="132" t="str" cm="1">
        <f t="array" ref="I153">IFERROR(_xlfn.TEXTJOIN(" / ", TRUE, IF(OWNER_LIST[Owner Name]=C_1[[#This Row],[OWNER NAME 1]], OWNER_LIST[Owner ORG], ""), IF(OWNER_LIST[Owner Name]=C_1[[#This Row],[OWNER NAME 2]], OWNER_LIST[Owner ORG], "")), "")</f>
        <v/>
      </c>
      <c r="J153" s="83"/>
      <c r="K153" s="83"/>
      <c r="L153" s="83"/>
      <c r="M153" s="133"/>
      <c r="N153" s="207"/>
      <c r="O153" s="208"/>
      <c r="P153" s="208"/>
      <c r="Q153" s="229"/>
      <c r="R153" s="229" t="str">
        <f xml:space="preserve"> _xlfn.CONCAT(C_1[[#This Row],[ESCALATE]], "-",C_1[[#This Row],[Row_PM]])</f>
        <v>-</v>
      </c>
      <c r="S153" s="229" t="str">
        <f xml:space="preserve"> _xlfn.CONCAT(C_1[[#This Row],[ESCALATE]], "-",C_1[[#This Row],[Notify_PM]])</f>
        <v>--</v>
      </c>
      <c r="T153" s="229">
        <f>ROW()</f>
        <v>153</v>
      </c>
      <c r="U153" s="229" t="str">
        <f>IF(C_1[[#This Row],[OWNER NAME 1]] = "", "",
   IF(_xlfn.XLOOKUP(C_1[[#This Row],[OWNER NAME 1]],OWNER_LIST[Owner Name], OWNER_LIST[Email], "") = "", "",
      _xlfn.XLOOKUP(C_1[[#This Row],[OWNER NAME 1]], OWNER_LIST[Owner Name], OWNER_LIST[Email], "")))</f>
        <v/>
      </c>
      <c r="V153" s="229" t="str">
        <f>IF(C_1[[#This Row],[OWNER NAME 2]] = "", "",
   IF(_xlfn.XLOOKUP(C_1[[#This Row],[OWNER NAME 2]],OWNER_LIST[Owner Name], OWNER_LIST[Email], "") = "", "",
      _xlfn.XLOOKUP(C_1[[#This Row],[OWNER NAME 2]], OWNER_LIST[Owner Name], OWNER_LIST[Email], "")))</f>
        <v/>
      </c>
      <c r="W153" s="229" t="str">
        <f>$A$37</f>
        <v>C1</v>
      </c>
      <c r="X153" s="229" t="str">
        <f>IF(
    OR(
        AND(
            NOT(ISBLANK(C_1[[#This Row],[DESCRIPTION -  INFORMATION LOG]])),
            C_1[[#This Row],[DESCRIPTION -  INFORMATION LOG]] &lt;&gt; "DESCRIPTION -  INFORMATION LOG"
        ),
        NOT(ISBLANK(C_1[[#This Row],[ACTION REQUIRED]]))
    ),
    "Y",
    "N"
)</f>
        <v>Y</v>
      </c>
      <c r="Y153" s="208"/>
      <c r="Z153" s="208"/>
    </row>
    <row r="154" spans="1:26" ht="76.5">
      <c r="A154" s="129"/>
      <c r="B154" s="211" t="s">
        <v>413</v>
      </c>
      <c r="C154" s="152" t="s">
        <v>81</v>
      </c>
      <c r="D154" s="144" t="s">
        <v>82</v>
      </c>
      <c r="E154" s="129" t="s">
        <v>414</v>
      </c>
      <c r="F154" s="129"/>
      <c r="G154" s="154"/>
      <c r="H154" s="93"/>
      <c r="I154" s="132" t="str" cm="1">
        <f t="array" ref="I154">IFERROR(_xlfn.TEXTJOIN(" / ", TRUE, IF(OWNER_LIST[Owner Name]=C_1[[#This Row],[OWNER NAME 1]], OWNER_LIST[Owner ORG], ""), IF(OWNER_LIST[Owner Name]=C_1[[#This Row],[OWNER NAME 2]], OWNER_LIST[Owner ORG], "")), "")</f>
        <v/>
      </c>
      <c r="J154" s="83"/>
      <c r="K154" s="83"/>
      <c r="L154" s="83"/>
      <c r="M154" s="133"/>
      <c r="N154" s="207"/>
      <c r="O154" s="208"/>
      <c r="P154" s="208"/>
      <c r="Q154" s="229"/>
      <c r="R154" s="229" t="str">
        <f xml:space="preserve"> _xlfn.CONCAT(C_1[[#This Row],[ESCALATE]], "-",C_1[[#This Row],[Row_PM]])</f>
        <v>-</v>
      </c>
      <c r="S154" s="229" t="str">
        <f xml:space="preserve"> _xlfn.CONCAT(C_1[[#This Row],[ESCALATE]], "-",C_1[[#This Row],[Notify_PM]])</f>
        <v>--</v>
      </c>
      <c r="T154" s="229">
        <f>ROW()</f>
        <v>154</v>
      </c>
      <c r="U154" s="229" t="str">
        <f>IF(C_1[[#This Row],[OWNER NAME 1]] = "", "",
   IF(_xlfn.XLOOKUP(C_1[[#This Row],[OWNER NAME 1]],OWNER_LIST[Owner Name], OWNER_LIST[Email], "") = "", "",
      _xlfn.XLOOKUP(C_1[[#This Row],[OWNER NAME 1]], OWNER_LIST[Owner Name], OWNER_LIST[Email], "")))</f>
        <v/>
      </c>
      <c r="V154" s="229" t="str">
        <f>IF(C_1[[#This Row],[OWNER NAME 2]] = "", "",
   IF(_xlfn.XLOOKUP(C_1[[#This Row],[OWNER NAME 2]],OWNER_LIST[Owner Name], OWNER_LIST[Email], "") = "", "",
      _xlfn.XLOOKUP(C_1[[#This Row],[OWNER NAME 2]], OWNER_LIST[Owner Name], OWNER_LIST[Email], "")))</f>
        <v/>
      </c>
      <c r="W154" s="229" t="str">
        <f t="shared" ref="W154:W155" si="11">$A$37</f>
        <v>C1</v>
      </c>
      <c r="X154" s="229" t="str">
        <f>IF(
    OR(
        AND(
            NOT(ISBLANK(C_1[[#This Row],[DESCRIPTION -  INFORMATION LOG]])),
            C_1[[#This Row],[DESCRIPTION -  INFORMATION LOG]] &lt;&gt; "DESCRIPTION -  INFORMATION LOG"
        ),
        NOT(ISBLANK(C_1[[#This Row],[ACTION REQUIRED]]))
    ),
    "Y",
    "N"
)</f>
        <v>Y</v>
      </c>
      <c r="Y154" s="208"/>
      <c r="Z154" s="208"/>
    </row>
    <row r="155" spans="1:26" ht="30.75">
      <c r="A155" s="129"/>
      <c r="B155" s="211" t="s">
        <v>415</v>
      </c>
      <c r="C155" s="152" t="s">
        <v>81</v>
      </c>
      <c r="D155" s="144" t="s">
        <v>82</v>
      </c>
      <c r="E155" s="129" t="s">
        <v>416</v>
      </c>
      <c r="F155" s="129"/>
      <c r="G155" s="154"/>
      <c r="H155" s="93"/>
      <c r="I155" s="132" t="str" cm="1">
        <f t="array" ref="I155">IFERROR(_xlfn.TEXTJOIN(" / ", TRUE, IF(OWNER_LIST[Owner Name]=C_1[[#This Row],[OWNER NAME 1]], OWNER_LIST[Owner ORG], ""), IF(OWNER_LIST[Owner Name]=C_1[[#This Row],[OWNER NAME 2]], OWNER_LIST[Owner ORG], "")), "")</f>
        <v/>
      </c>
      <c r="J155" s="83"/>
      <c r="K155" s="83"/>
      <c r="L155" s="83"/>
      <c r="M155" s="133"/>
      <c r="N155" s="207"/>
      <c r="O155" s="208"/>
      <c r="P155" s="208"/>
      <c r="Q155" s="229"/>
      <c r="R155" s="229" t="str">
        <f xml:space="preserve"> _xlfn.CONCAT(C_1[[#This Row],[ESCALATE]], "-",C_1[[#This Row],[Row_PM]])</f>
        <v>-</v>
      </c>
      <c r="S155" s="229" t="str">
        <f xml:space="preserve"> _xlfn.CONCAT(C_1[[#This Row],[ESCALATE]], "-",C_1[[#This Row],[Notify_PM]])</f>
        <v>--</v>
      </c>
      <c r="T155" s="229">
        <f>ROW()</f>
        <v>155</v>
      </c>
      <c r="U155" s="229" t="str">
        <f>IF(C_1[[#This Row],[OWNER NAME 1]] = "", "",
   IF(_xlfn.XLOOKUP(C_1[[#This Row],[OWNER NAME 1]],OWNER_LIST[Owner Name], OWNER_LIST[Email], "") = "", "",
      _xlfn.XLOOKUP(C_1[[#This Row],[OWNER NAME 1]], OWNER_LIST[Owner Name], OWNER_LIST[Email], "")))</f>
        <v/>
      </c>
      <c r="V155" s="229" t="str">
        <f>IF(C_1[[#This Row],[OWNER NAME 2]] = "", "",
   IF(_xlfn.XLOOKUP(C_1[[#This Row],[OWNER NAME 2]],OWNER_LIST[Owner Name], OWNER_LIST[Email], "") = "", "",
      _xlfn.XLOOKUP(C_1[[#This Row],[OWNER NAME 2]], OWNER_LIST[Owner Name], OWNER_LIST[Email], "")))</f>
        <v/>
      </c>
      <c r="W155" s="229" t="str">
        <f t="shared" si="11"/>
        <v>C1</v>
      </c>
      <c r="X155" s="229" t="str">
        <f>IF(
    OR(
        AND(
            NOT(ISBLANK(C_1[[#This Row],[DESCRIPTION -  INFORMATION LOG]])),
            C_1[[#This Row],[DESCRIPTION -  INFORMATION LOG]] &lt;&gt; "DESCRIPTION -  INFORMATION LOG"
        ),
        NOT(ISBLANK(C_1[[#This Row],[ACTION REQUIRED]]))
    ),
    "Y",
    "N"
)</f>
        <v>Y</v>
      </c>
      <c r="Y155" s="208"/>
      <c r="Z155" s="208"/>
    </row>
    <row r="156" spans="1:26">
      <c r="A156" s="129"/>
      <c r="B156" s="211" t="s">
        <v>374</v>
      </c>
      <c r="C156" s="152" t="s">
        <v>81</v>
      </c>
      <c r="D156" s="144" t="s">
        <v>82</v>
      </c>
      <c r="E156" s="129"/>
      <c r="F156" s="129" t="s">
        <v>417</v>
      </c>
      <c r="G156" s="125" t="s">
        <v>85</v>
      </c>
      <c r="H156" s="93">
        <v>45935</v>
      </c>
      <c r="I156" s="132" t="str" cm="1">
        <f t="array" ref="I156">IFERROR(_xlfn.TEXTJOIN(" / ", TRUE, IF(OWNER_LIST[Owner Name]=C_1[[#This Row],[OWNER NAME 1]], OWNER_LIST[Owner ORG], ""), IF(OWNER_LIST[Owner Name]=C_1[[#This Row],[OWNER NAME 2]], OWNER_LIST[Owner ORG], "")), "")</f>
        <v>RPN</v>
      </c>
      <c r="J156" s="83" t="s">
        <v>28</v>
      </c>
      <c r="K156" s="83"/>
      <c r="L156" s="83"/>
      <c r="M156" s="133"/>
      <c r="N156" s="207"/>
      <c r="O156" s="208"/>
      <c r="P156" s="208"/>
      <c r="Q156" s="229"/>
      <c r="R156" s="229" t="str">
        <f xml:space="preserve"> _xlfn.CONCAT(C_1[[#This Row],[ESCALATE]], "-",C_1[[#This Row],[Row_PM]])</f>
        <v>-</v>
      </c>
      <c r="S156" s="229" t="str">
        <f xml:space="preserve"> _xlfn.CONCAT(C_1[[#This Row],[ESCALATE]], "-",C_1[[#This Row],[Notify_PM]])</f>
        <v>--</v>
      </c>
      <c r="T156" s="229">
        <f>ROW()</f>
        <v>156</v>
      </c>
      <c r="U156" s="229" t="str">
        <f>IF(C_1[[#This Row],[OWNER NAME 1]] = "", "",
   IF(_xlfn.XLOOKUP(C_1[[#This Row],[OWNER NAME 1]],OWNER_LIST[Owner Name], OWNER_LIST[Email], "") = "", "",
      _xlfn.XLOOKUP(C_1[[#This Row],[OWNER NAME 1]], OWNER_LIST[Owner Name], OWNER_LIST[Email], "")))</f>
        <v>federica.brunone@cmbcarpi.it</v>
      </c>
      <c r="V156" s="229" t="str">
        <f>IF(C_1[[#This Row],[OWNER NAME 2]] = "", "",
   IF(_xlfn.XLOOKUP(C_1[[#This Row],[OWNER NAME 2]],OWNER_LIST[Owner Name], OWNER_LIST[Email], "") = "", "",
      _xlfn.XLOOKUP(C_1[[#This Row],[OWNER NAME 2]], OWNER_LIST[Owner Name], OWNER_LIST[Email], "")))</f>
        <v/>
      </c>
      <c r="W156" s="229" t="str">
        <f t="shared" ref="W156:W157" si="12">$A$37</f>
        <v>C1</v>
      </c>
      <c r="X156" s="229" t="str">
        <f>IF(
    OR(
        AND(
            NOT(ISBLANK(C_1[[#This Row],[DESCRIPTION -  INFORMATION LOG]])),
            C_1[[#This Row],[DESCRIPTION -  INFORMATION LOG]] &lt;&gt; "DESCRIPTION -  INFORMATION LOG"
        ),
        NOT(ISBLANK(C_1[[#This Row],[ACTION REQUIRED]]))
    ),
    "Y",
    "N"
)</f>
        <v>Y</v>
      </c>
      <c r="Y156" s="208"/>
      <c r="Z156" s="208"/>
    </row>
    <row r="157" spans="1:26">
      <c r="A157" s="129"/>
      <c r="B157" s="211" t="s">
        <v>418</v>
      </c>
      <c r="C157" s="152" t="s">
        <v>81</v>
      </c>
      <c r="D157" s="144" t="s">
        <v>82</v>
      </c>
      <c r="E157" s="129"/>
      <c r="F157" s="129" t="s">
        <v>417</v>
      </c>
      <c r="G157" s="125" t="s">
        <v>85</v>
      </c>
      <c r="H157" s="93">
        <v>45935</v>
      </c>
      <c r="I157" s="132" t="str" cm="1">
        <f t="array" ref="I157">IFERROR(_xlfn.TEXTJOIN(" / ", TRUE, IF(OWNER_LIST[Owner Name]=C_1[[#This Row],[OWNER NAME 1]], OWNER_LIST[Owner ORG], ""), IF(OWNER_LIST[Owner Name]=C_1[[#This Row],[OWNER NAME 2]], OWNER_LIST[Owner ORG], "")), "")</f>
        <v>RPN</v>
      </c>
      <c r="J157" s="83" t="s">
        <v>30</v>
      </c>
      <c r="K157" s="83"/>
      <c r="L157" s="83"/>
      <c r="M157" s="133"/>
      <c r="N157" s="207"/>
      <c r="O157" s="208"/>
      <c r="P157" s="208"/>
      <c r="Q157" s="229"/>
      <c r="R157" s="229" t="str">
        <f xml:space="preserve"> _xlfn.CONCAT(C_1[[#This Row],[ESCALATE]], "-",C_1[[#This Row],[Row_PM]])</f>
        <v>-</v>
      </c>
      <c r="S157" s="229" t="str">
        <f xml:space="preserve"> _xlfn.CONCAT(C_1[[#This Row],[ESCALATE]], "-",C_1[[#This Row],[Notify_PM]])</f>
        <v>--</v>
      </c>
      <c r="T157" s="229">
        <f>ROW()</f>
        <v>157</v>
      </c>
      <c r="U157" s="229" t="str">
        <f>IF(C_1[[#This Row],[OWNER NAME 1]] = "", "",
   IF(_xlfn.XLOOKUP(C_1[[#This Row],[OWNER NAME 1]],OWNER_LIST[Owner Name], OWNER_LIST[Email], "") = "", "",
      _xlfn.XLOOKUP(C_1[[#This Row],[OWNER NAME 1]], OWNER_LIST[Owner Name], OWNER_LIST[Email], "")))</f>
        <v>simone.conti@cmbcarpi.it</v>
      </c>
      <c r="V157" s="229" t="str">
        <f>IF(C_1[[#This Row],[OWNER NAME 2]] = "", "",
   IF(_xlfn.XLOOKUP(C_1[[#This Row],[OWNER NAME 2]],OWNER_LIST[Owner Name], OWNER_LIST[Email], "") = "", "",
      _xlfn.XLOOKUP(C_1[[#This Row],[OWNER NAME 2]], OWNER_LIST[Owner Name], OWNER_LIST[Email], "")))</f>
        <v/>
      </c>
      <c r="W157" s="229" t="str">
        <f t="shared" si="12"/>
        <v>C1</v>
      </c>
      <c r="X157" s="229" t="str">
        <f>IF(
    OR(
        AND(
            NOT(ISBLANK(C_1[[#This Row],[DESCRIPTION -  INFORMATION LOG]])),
            C_1[[#This Row],[DESCRIPTION -  INFORMATION LOG]] &lt;&gt; "DESCRIPTION -  INFORMATION LOG"
        ),
        NOT(ISBLANK(C_1[[#This Row],[ACTION REQUIRED]]))
    ),
    "Y",
    "N"
)</f>
        <v>Y</v>
      </c>
      <c r="Y157" s="208"/>
      <c r="Z157" s="208"/>
    </row>
    <row r="158" spans="1:26" ht="30.75">
      <c r="A158" s="129"/>
      <c r="B158" s="211" t="s">
        <v>419</v>
      </c>
      <c r="C158" s="152" t="s">
        <v>81</v>
      </c>
      <c r="D158" s="144" t="s">
        <v>82</v>
      </c>
      <c r="E158" s="129" t="s">
        <v>420</v>
      </c>
      <c r="F158" s="129" t="s">
        <v>421</v>
      </c>
      <c r="G158" s="125" t="s">
        <v>90</v>
      </c>
      <c r="H158" s="93">
        <v>45945</v>
      </c>
      <c r="I158" s="132" t="str" cm="1">
        <f t="array" ref="I158">IFERROR(_xlfn.TEXTJOIN(" / ", TRUE, IF(OWNER_LIST[Owner Name]=C_1[[#This Row],[OWNER NAME 1]], OWNER_LIST[Owner ORG], ""), IF(OWNER_LIST[Owner Name]=C_1[[#This Row],[OWNER NAME 2]], OWNER_LIST[Owner ORG], "")), "")</f>
        <v>RPN / SHP</v>
      </c>
      <c r="J158" s="145" t="s">
        <v>30</v>
      </c>
      <c r="K158" s="83" t="s">
        <v>147</v>
      </c>
      <c r="L158" s="83"/>
      <c r="M158" s="133"/>
      <c r="N158" s="207"/>
      <c r="O158" s="208"/>
      <c r="P158" s="208"/>
      <c r="Q158" s="229"/>
      <c r="R158" s="229" t="str">
        <f xml:space="preserve"> _xlfn.CONCAT(C_1[[#This Row],[ESCALATE]], "-",C_1[[#This Row],[Row_PM]])</f>
        <v>-</v>
      </c>
      <c r="S158" s="229" t="str">
        <f xml:space="preserve"> _xlfn.CONCAT(C_1[[#This Row],[ESCALATE]], "-",C_1[[#This Row],[Notify_PM]])</f>
        <v>--</v>
      </c>
      <c r="T158" s="229">
        <f>ROW()</f>
        <v>158</v>
      </c>
      <c r="U158" s="229" t="str">
        <f>IF(C_1[[#This Row],[OWNER NAME 1]] = "", "",
   IF(_xlfn.XLOOKUP(C_1[[#This Row],[OWNER NAME 1]],OWNER_LIST[Owner Name], OWNER_LIST[Email], "") = "", "",
      _xlfn.XLOOKUP(C_1[[#This Row],[OWNER NAME 1]], OWNER_LIST[Owner Name], OWNER_LIST[Email], "")))</f>
        <v>simone.conti@cmbcarpi.it</v>
      </c>
      <c r="V158" s="229" t="str">
        <f>IF(C_1[[#This Row],[OWNER NAME 2]] = "", "",
   IF(_xlfn.XLOOKUP(C_1[[#This Row],[OWNER NAME 2]],OWNER_LIST[Owner Name], OWNER_LIST[Email], "") = "", "",
      _xlfn.XLOOKUP(C_1[[#This Row],[OWNER NAME 2]], OWNER_LIST[Owner Name], OWNER_LIST[Email], "")))</f>
        <v>ionescud@un.org</v>
      </c>
      <c r="W158" s="229" t="str">
        <f>$A$37</f>
        <v>C1</v>
      </c>
      <c r="X158" s="229" t="str">
        <f>IF(
    OR(
        AND(
            NOT(ISBLANK(C_1[[#This Row],[DESCRIPTION -  INFORMATION LOG]])),
            C_1[[#This Row],[DESCRIPTION -  INFORMATION LOG]] &lt;&gt; "DESCRIPTION -  INFORMATION LOG"
        ),
        NOT(ISBLANK(C_1[[#This Row],[ACTION REQUIRED]]))
    ),
    "Y",
    "N"
)</f>
        <v>Y</v>
      </c>
      <c r="Y158" s="208"/>
      <c r="Z158" s="208"/>
    </row>
    <row r="159" spans="1:26">
      <c r="A159" s="64" t="s">
        <v>4</v>
      </c>
      <c r="B159" s="65" t="s">
        <v>422</v>
      </c>
      <c r="C159" s="65"/>
      <c r="D159" s="64"/>
      <c r="E159" s="65"/>
      <c r="F159" s="64"/>
      <c r="G159" s="216"/>
      <c r="H159" s="217"/>
      <c r="I159" s="216"/>
      <c r="J159" s="218"/>
      <c r="K159" s="218"/>
      <c r="L159" s="218"/>
      <c r="M159" s="67"/>
      <c r="N159" s="67"/>
      <c r="O159" s="219"/>
      <c r="P159" s="64"/>
      <c r="Q159" s="239"/>
      <c r="R159" s="239" t="str">
        <f xml:space="preserve"> _xlfn.CONCAT(C_1[[#This Row],[ESCALATE]], "-",C_1[[#This Row],[Row_PM]])</f>
        <v>-</v>
      </c>
      <c r="S159" s="240" t="str">
        <f xml:space="preserve"> _xlfn.CONCAT(C_1[[#This Row],[ESCALATE]], "-",C_1[[#This Row],[Notify_PM]])</f>
        <v>--</v>
      </c>
      <c r="T159" s="235">
        <f>ROW()</f>
        <v>159</v>
      </c>
      <c r="U159" s="235" t="str">
        <f>IF(C_1[[#This Row],[OWNER NAME 1]] = "", "",
   IF(_xlfn.XLOOKUP(C_1[[#This Row],[OWNER NAME 1]],OWNER_LIST[Owner Name], OWNER_LIST[Email], "") = "", "",
      _xlfn.XLOOKUP(C_1[[#This Row],[OWNER NAME 1]], OWNER_LIST[Owner Name], OWNER_LIST[Email], "")))</f>
        <v/>
      </c>
      <c r="V159" s="235" t="str">
        <f>IF(C_1[[#This Row],[OWNER NAME 2]] = "", "",
   IF(_xlfn.XLOOKUP(C_1[[#This Row],[OWNER NAME 2]],OWNER_LIST[Owner Name], OWNER_LIST[Email], "") = "", "",
      _xlfn.XLOOKUP(C_1[[#This Row],[OWNER NAME 2]], OWNER_LIST[Owner Name], OWNER_LIST[Email], "")))</f>
        <v/>
      </c>
      <c r="W159" s="235" t="str">
        <f>$A$37</f>
        <v>C1</v>
      </c>
      <c r="X159" s="235" t="str">
        <f>IF(
    OR(
        AND(
            NOT(ISBLANK(C_1[[#This Row],[DESCRIPTION -  INFORMATION LOG]])),
            C_1[[#This Row],[DESCRIPTION -  INFORMATION LOG]] &lt;&gt; "DESCRIPTION -  INFORMATION LOG"
        ),
        NOT(ISBLANK(C_1[[#This Row],[ACTION REQUIRED]]))
    ),
    "Y",
    "N"
)</f>
        <v>N</v>
      </c>
      <c r="Y159" s="208"/>
      <c r="Z159" s="208"/>
    </row>
    <row r="160" spans="1:26">
      <c r="A160" s="220"/>
      <c r="B160" s="221"/>
      <c r="C160" s="220"/>
      <c r="D160" s="220"/>
      <c r="E160" s="220"/>
      <c r="F160" s="220"/>
      <c r="G160" s="222"/>
      <c r="H160" s="223"/>
      <c r="I160" s="222"/>
      <c r="J160" s="221"/>
      <c r="K160" s="221"/>
      <c r="L160" s="220"/>
      <c r="M160" s="223"/>
      <c r="N160" s="224"/>
      <c r="O160" s="225"/>
      <c r="P160" s="226"/>
      <c r="Q160" s="229"/>
      <c r="R160" s="229" t="str">
        <f xml:space="preserve"> _xlfn.CONCAT(C_1[[#This Row],[ESCALATE]], "-",C_1[[#This Row],[Row_PM]])</f>
        <v>-</v>
      </c>
      <c r="S160" s="229" t="str">
        <f xml:space="preserve"> _xlfn.CONCAT(C_1[[#This Row],[ESCALATE]], "-",C_1[[#This Row],[Notify_PM]])</f>
        <v>--</v>
      </c>
      <c r="T160" s="229">
        <f>ROW()</f>
        <v>160</v>
      </c>
      <c r="U160" s="229" t="str">
        <f>IF(C_1[[#This Row],[OWNER NAME 1]] = "", "",
   IF(_xlfn.XLOOKUP(C_1[[#This Row],[OWNER NAME 1]],OWNER_LIST[Owner Name], OWNER_LIST[Email], "") = "", "",
      _xlfn.XLOOKUP(C_1[[#This Row],[OWNER NAME 1]], OWNER_LIST[Owner Name], OWNER_LIST[Email], "")))</f>
        <v/>
      </c>
      <c r="V160" s="229" t="str">
        <f>IF(C_1[[#This Row],[OWNER NAME 2]] = "", "",
   IF(_xlfn.XLOOKUP(C_1[[#This Row],[OWNER NAME 2]],OWNER_LIST[Owner Name], OWNER_LIST[Email], "") = "", "",
      _xlfn.XLOOKUP(C_1[[#This Row],[OWNER NAME 2]], OWNER_LIST[Owner Name], OWNER_LIST[Email], "")))</f>
        <v/>
      </c>
      <c r="W160" s="229" t="str">
        <f>$A$37</f>
        <v>C1</v>
      </c>
      <c r="X160" s="229" t="str">
        <f>IF(
    OR(
        AND(
            NOT(ISBLANK(C_1[[#This Row],[DESCRIPTION -  INFORMATION LOG]])),
            C_1[[#This Row],[DESCRIPTION -  INFORMATION LOG]] &lt;&gt; "DESCRIPTION -  INFORMATION LOG"
        ),
        NOT(ISBLANK(C_1[[#This Row],[ACTION REQUIRED]]))
    ),
    "Y",
    "N"
)</f>
        <v>N</v>
      </c>
      <c r="Y160" s="208"/>
      <c r="Z160" s="208"/>
    </row>
    <row r="161" spans="1:26">
      <c r="A161" s="242"/>
      <c r="B161" s="242"/>
      <c r="C161" s="242"/>
      <c r="D161" s="242"/>
      <c r="E161" s="242"/>
      <c r="F161" s="242"/>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c r="A162" s="242"/>
      <c r="B162" s="242"/>
      <c r="C162" s="242"/>
      <c r="D162" s="242"/>
      <c r="E162" s="242"/>
      <c r="F162" s="242"/>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c r="A163" s="242"/>
      <c r="B163" s="242"/>
      <c r="C163" s="242"/>
      <c r="D163" s="242"/>
      <c r="E163" s="242"/>
      <c r="F163" s="242"/>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c r="A164" s="242"/>
      <c r="B164" s="242"/>
      <c r="C164" s="242"/>
      <c r="D164" s="242"/>
      <c r="E164" s="242"/>
      <c r="F164" s="242"/>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c r="A165" s="242"/>
      <c r="B165" s="242"/>
      <c r="C165" s="242"/>
      <c r="D165" s="242"/>
      <c r="E165" s="242"/>
      <c r="F165" s="242"/>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c r="A166" s="242"/>
      <c r="B166" s="242"/>
      <c r="C166" s="242"/>
      <c r="D166" s="242"/>
      <c r="E166" s="242"/>
      <c r="F166" s="242"/>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c r="A167" s="242"/>
      <c r="B167" s="242"/>
      <c r="C167" s="242"/>
      <c r="D167" s="242"/>
      <c r="E167" s="242"/>
      <c r="F167" s="242"/>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c r="A168" s="242"/>
      <c r="B168" s="242"/>
      <c r="C168" s="242"/>
      <c r="D168" s="242"/>
      <c r="E168" s="242"/>
      <c r="F168" s="242"/>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c r="A169" s="242"/>
      <c r="B169" s="242"/>
      <c r="C169" s="242"/>
      <c r="D169" s="242"/>
      <c r="E169" s="242"/>
      <c r="F169" s="242"/>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c r="A170" s="242"/>
      <c r="B170" s="242"/>
      <c r="C170" s="242"/>
      <c r="D170" s="242"/>
      <c r="E170" s="242"/>
      <c r="F170" s="242"/>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c r="A171" s="242"/>
      <c r="B171" s="242"/>
      <c r="C171" s="242"/>
      <c r="D171" s="242"/>
      <c r="E171" s="242"/>
      <c r="F171" s="242"/>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c r="A172" s="242"/>
      <c r="B172" s="242"/>
      <c r="C172" s="242"/>
      <c r="D172" s="242"/>
      <c r="E172" s="242"/>
      <c r="F172" s="242"/>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c r="A173" s="242"/>
      <c r="B173" s="242"/>
      <c r="C173" s="242"/>
      <c r="D173" s="242"/>
      <c r="E173" s="242"/>
      <c r="F173" s="242"/>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c r="A174" s="242"/>
      <c r="B174" s="242"/>
      <c r="C174" s="242"/>
      <c r="D174" s="242"/>
      <c r="E174" s="242"/>
      <c r="F174" s="242"/>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c r="A175" s="242"/>
      <c r="B175" s="242"/>
      <c r="C175" s="242"/>
      <c r="D175" s="242"/>
      <c r="E175" s="242"/>
      <c r="F175" s="242"/>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c r="A176" s="242"/>
      <c r="B176" s="242"/>
      <c r="C176" s="242"/>
      <c r="D176" s="242"/>
      <c r="E176" s="242"/>
      <c r="F176" s="242"/>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c r="A177" s="242"/>
      <c r="B177" s="242"/>
      <c r="C177" s="242"/>
      <c r="D177" s="242"/>
      <c r="E177" s="242"/>
      <c r="F177" s="242"/>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c r="A178" s="242"/>
      <c r="B178" s="242"/>
      <c r="C178" s="242"/>
      <c r="D178" s="242"/>
      <c r="E178" s="242"/>
      <c r="F178" s="242"/>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c r="A179" s="242"/>
      <c r="B179" s="242"/>
      <c r="C179" s="242"/>
      <c r="D179" s="242"/>
      <c r="E179" s="242"/>
      <c r="F179" s="242"/>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c r="A180" s="242"/>
      <c r="B180" s="242"/>
      <c r="C180" s="242"/>
      <c r="D180" s="242"/>
      <c r="E180" s="242"/>
      <c r="F180" s="242"/>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c r="A181" s="242"/>
      <c r="B181" s="242"/>
      <c r="C181" s="242"/>
      <c r="D181" s="242"/>
      <c r="E181" s="242"/>
      <c r="F181" s="242"/>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c r="A182" s="242"/>
      <c r="B182" s="242"/>
      <c r="C182" s="242"/>
      <c r="D182" s="242"/>
      <c r="E182" s="242"/>
      <c r="F182" s="242"/>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c r="A183" s="242"/>
      <c r="B183" s="242"/>
      <c r="C183" s="242"/>
      <c r="D183" s="242"/>
      <c r="E183" s="242"/>
      <c r="F183" s="242"/>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c r="A184" s="242"/>
      <c r="B184" s="242"/>
      <c r="C184" s="242"/>
      <c r="D184" s="242"/>
      <c r="E184" s="242"/>
      <c r="F184" s="242"/>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c r="A185" s="242"/>
      <c r="B185" s="242"/>
      <c r="C185" s="242"/>
      <c r="D185" s="242"/>
      <c r="E185" s="242"/>
      <c r="F185" s="242"/>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c r="A186" s="242"/>
      <c r="B186" s="242"/>
      <c r="C186" s="242"/>
      <c r="D186" s="242"/>
      <c r="E186" s="242"/>
      <c r="F186" s="242"/>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s="166" customFormat="1">
      <c r="A187" s="242"/>
      <c r="B187" s="242"/>
      <c r="C187" s="242"/>
      <c r="D187" s="242"/>
      <c r="E187" s="242"/>
      <c r="F187" s="242"/>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c r="A188" s="242"/>
      <c r="B188" s="242"/>
      <c r="C188" s="242"/>
      <c r="D188" s="242"/>
      <c r="E188" s="242"/>
      <c r="F188" s="242"/>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c r="A189" s="242"/>
      <c r="B189" s="242"/>
      <c r="C189" s="242"/>
      <c r="D189" s="242"/>
      <c r="E189" s="242"/>
      <c r="F189" s="242"/>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c r="A190" s="242"/>
      <c r="B190" s="242"/>
      <c r="C190" s="242"/>
      <c r="D190" s="242"/>
      <c r="E190" s="242"/>
      <c r="F190" s="242"/>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c r="A191" s="242"/>
      <c r="B191" s="242"/>
      <c r="C191" s="242"/>
      <c r="D191" s="242"/>
      <c r="E191" s="242"/>
      <c r="F191" s="242"/>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c r="A192" s="242"/>
      <c r="B192" s="242"/>
      <c r="C192" s="242"/>
      <c r="D192" s="242"/>
      <c r="E192" s="242"/>
      <c r="F192" s="242"/>
      <c r="G192" s="208"/>
      <c r="H192" s="208"/>
      <c r="I192" s="208"/>
      <c r="J192" s="208"/>
      <c r="K192" s="208"/>
      <c r="L192" s="208"/>
      <c r="M192" s="208"/>
      <c r="N192" s="208"/>
      <c r="O192" s="208"/>
      <c r="P192" s="208"/>
      <c r="Q192" s="208"/>
      <c r="R192" s="208"/>
      <c r="S192" s="208"/>
      <c r="T192" s="208"/>
      <c r="U192" s="208"/>
      <c r="V192" s="208"/>
      <c r="W192" s="208"/>
      <c r="X192" s="208"/>
      <c r="Y192" s="208"/>
      <c r="Z192" s="208"/>
    </row>
    <row r="193" spans="1:26">
      <c r="A193" s="242"/>
      <c r="B193" s="242"/>
      <c r="C193" s="242"/>
      <c r="D193" s="242"/>
      <c r="E193" s="242"/>
      <c r="F193" s="242"/>
      <c r="G193" s="208"/>
      <c r="H193" s="208"/>
      <c r="I193" s="208"/>
      <c r="J193" s="208"/>
      <c r="K193" s="208"/>
      <c r="L193" s="208"/>
      <c r="M193" s="208"/>
      <c r="N193" s="208"/>
      <c r="O193" s="208"/>
      <c r="P193" s="208"/>
      <c r="Q193" s="208"/>
      <c r="R193" s="208"/>
      <c r="S193" s="208"/>
      <c r="T193" s="208"/>
      <c r="U193" s="208"/>
      <c r="V193" s="208"/>
      <c r="W193" s="208"/>
      <c r="X193" s="208"/>
      <c r="Y193" s="208"/>
      <c r="Z193" s="208"/>
    </row>
    <row r="194" spans="1:26">
      <c r="A194" s="242"/>
      <c r="B194" s="242"/>
      <c r="C194" s="242"/>
      <c r="D194" s="242"/>
      <c r="E194" s="242"/>
      <c r="F194" s="242"/>
      <c r="G194" s="208"/>
      <c r="H194" s="208"/>
      <c r="I194" s="208"/>
      <c r="J194" s="208"/>
      <c r="K194" s="208"/>
      <c r="L194" s="208"/>
      <c r="M194" s="208"/>
      <c r="N194" s="208"/>
      <c r="O194" s="208"/>
      <c r="P194" s="208"/>
      <c r="Q194" s="208"/>
      <c r="R194" s="208"/>
      <c r="S194" s="208"/>
      <c r="T194" s="208"/>
      <c r="U194" s="208"/>
      <c r="V194" s="208"/>
      <c r="W194" s="208"/>
      <c r="X194" s="208"/>
      <c r="Y194" s="208"/>
      <c r="Z194" s="208"/>
    </row>
    <row r="195" spans="1:26">
      <c r="A195" s="242"/>
      <c r="B195" s="242"/>
      <c r="C195" s="242"/>
      <c r="D195" s="242"/>
      <c r="E195" s="242"/>
      <c r="F195" s="242"/>
      <c r="G195" s="208"/>
      <c r="H195" s="208"/>
      <c r="I195" s="208"/>
      <c r="J195" s="208"/>
      <c r="K195" s="208"/>
      <c r="L195" s="208"/>
      <c r="M195" s="208"/>
      <c r="N195" s="208"/>
      <c r="O195" s="208"/>
      <c r="P195" s="208"/>
      <c r="Q195" s="208"/>
      <c r="R195" s="208"/>
      <c r="S195" s="208"/>
      <c r="T195" s="208"/>
      <c r="U195" s="208"/>
      <c r="V195" s="208"/>
      <c r="W195" s="208"/>
      <c r="X195" s="208"/>
      <c r="Y195" s="208"/>
      <c r="Z195" s="208"/>
    </row>
    <row r="196" spans="1:26">
      <c r="A196" s="242"/>
      <c r="B196" s="242"/>
      <c r="C196" s="242"/>
      <c r="D196" s="242"/>
      <c r="E196" s="242"/>
      <c r="F196" s="242"/>
      <c r="G196" s="208"/>
      <c r="H196" s="208"/>
      <c r="I196" s="208"/>
      <c r="J196" s="208"/>
      <c r="K196" s="208"/>
      <c r="L196" s="208"/>
      <c r="M196" s="208"/>
      <c r="N196" s="208"/>
      <c r="O196" s="208"/>
      <c r="P196" s="208"/>
      <c r="Q196" s="208"/>
      <c r="R196" s="208"/>
      <c r="S196" s="208"/>
      <c r="T196" s="208"/>
      <c r="U196" s="208"/>
      <c r="V196" s="208"/>
      <c r="W196" s="208"/>
      <c r="X196" s="208"/>
      <c r="Y196" s="208"/>
      <c r="Z196" s="208"/>
    </row>
    <row r="197" spans="1:26">
      <c r="A197" s="242"/>
      <c r="B197" s="242"/>
      <c r="C197" s="242"/>
      <c r="D197" s="242"/>
      <c r="E197" s="242"/>
      <c r="F197" s="242"/>
      <c r="G197" s="208"/>
      <c r="H197" s="208"/>
      <c r="I197" s="208"/>
      <c r="J197" s="208"/>
      <c r="K197" s="208"/>
      <c r="L197" s="208"/>
      <c r="M197" s="208"/>
      <c r="N197" s="208"/>
      <c r="O197" s="208"/>
      <c r="P197" s="208"/>
      <c r="Q197" s="208"/>
      <c r="R197" s="208"/>
      <c r="S197" s="208"/>
      <c r="T197" s="208"/>
      <c r="U197" s="208"/>
      <c r="V197" s="208"/>
      <c r="W197" s="208"/>
      <c r="X197" s="208"/>
      <c r="Y197" s="208"/>
      <c r="Z197" s="208"/>
    </row>
    <row r="198" spans="1:26">
      <c r="A198" s="242"/>
      <c r="B198" s="242"/>
      <c r="C198" s="242"/>
      <c r="D198" s="242"/>
      <c r="E198" s="242"/>
      <c r="F198" s="242"/>
      <c r="G198" s="208"/>
      <c r="H198" s="208"/>
      <c r="I198" s="208"/>
      <c r="J198" s="208"/>
      <c r="K198" s="208"/>
      <c r="L198" s="208"/>
      <c r="M198" s="208"/>
      <c r="N198" s="208"/>
      <c r="O198" s="208"/>
      <c r="P198" s="208"/>
      <c r="Q198" s="208"/>
      <c r="R198" s="208"/>
      <c r="S198" s="208"/>
      <c r="T198" s="208"/>
      <c r="U198" s="208"/>
      <c r="V198" s="208"/>
      <c r="W198" s="208"/>
      <c r="X198" s="208"/>
      <c r="Y198" s="208"/>
      <c r="Z198" s="208"/>
    </row>
    <row r="199" spans="1:26">
      <c r="A199" s="242"/>
      <c r="B199" s="242"/>
      <c r="C199" s="242"/>
      <c r="D199" s="242"/>
      <c r="E199" s="242"/>
      <c r="F199" s="242"/>
      <c r="G199" s="208"/>
      <c r="H199" s="208"/>
      <c r="I199" s="208"/>
      <c r="J199" s="208"/>
      <c r="K199" s="208"/>
      <c r="L199" s="208"/>
      <c r="M199" s="208"/>
      <c r="N199" s="208"/>
      <c r="O199" s="208"/>
      <c r="P199" s="208"/>
      <c r="Q199" s="208"/>
      <c r="R199" s="208"/>
      <c r="S199" s="208"/>
      <c r="T199" s="208"/>
      <c r="U199" s="208"/>
      <c r="V199" s="208"/>
      <c r="W199" s="208"/>
      <c r="X199" s="208"/>
      <c r="Y199" s="208"/>
      <c r="Z199" s="208"/>
    </row>
    <row r="200" spans="1:26">
      <c r="A200" s="242"/>
      <c r="B200" s="242"/>
      <c r="C200" s="242"/>
      <c r="D200" s="242"/>
      <c r="E200" s="242"/>
      <c r="F200" s="242"/>
      <c r="G200" s="208"/>
      <c r="H200" s="208"/>
      <c r="I200" s="208"/>
      <c r="J200" s="208"/>
      <c r="K200" s="208"/>
      <c r="L200" s="208"/>
      <c r="M200" s="208"/>
      <c r="N200" s="208"/>
      <c r="O200" s="208"/>
      <c r="P200" s="208"/>
      <c r="Q200" s="208"/>
      <c r="R200" s="208"/>
      <c r="S200" s="208"/>
      <c r="T200" s="208"/>
      <c r="U200" s="208"/>
      <c r="V200" s="208"/>
      <c r="W200" s="208"/>
      <c r="X200" s="208"/>
      <c r="Y200" s="208"/>
      <c r="Z200" s="208"/>
    </row>
    <row r="201" spans="1:26">
      <c r="A201" s="242"/>
      <c r="B201" s="242"/>
      <c r="C201" s="242"/>
      <c r="D201" s="242"/>
      <c r="E201" s="242"/>
      <c r="F201" s="242"/>
      <c r="G201" s="208"/>
      <c r="H201" s="208"/>
      <c r="I201" s="208"/>
      <c r="J201" s="208"/>
      <c r="K201" s="208"/>
      <c r="L201" s="208"/>
      <c r="M201" s="208"/>
      <c r="N201" s="208"/>
      <c r="O201" s="208"/>
      <c r="P201" s="208"/>
      <c r="Q201" s="208"/>
      <c r="R201" s="208"/>
      <c r="S201" s="208"/>
      <c r="T201" s="208"/>
      <c r="U201" s="208"/>
      <c r="V201" s="208"/>
      <c r="W201" s="208"/>
      <c r="X201" s="208"/>
      <c r="Y201" s="208"/>
      <c r="Z201" s="208"/>
    </row>
    <row r="202" spans="1:26">
      <c r="A202" s="242"/>
      <c r="B202" s="242"/>
      <c r="C202" s="242"/>
      <c r="D202" s="242"/>
      <c r="E202" s="242"/>
      <c r="F202" s="242"/>
      <c r="G202" s="208"/>
      <c r="H202" s="208"/>
      <c r="I202" s="208"/>
      <c r="J202" s="208"/>
      <c r="K202" s="208"/>
      <c r="L202" s="208"/>
      <c r="M202" s="208"/>
      <c r="N202" s="208"/>
      <c r="O202" s="208"/>
      <c r="P202" s="208"/>
      <c r="Q202" s="208"/>
      <c r="R202" s="208"/>
      <c r="S202" s="208"/>
      <c r="T202" s="208"/>
      <c r="U202" s="208"/>
      <c r="V202" s="208"/>
      <c r="W202" s="208"/>
      <c r="X202" s="208"/>
      <c r="Y202" s="208"/>
      <c r="Z202" s="208"/>
    </row>
    <row r="203" spans="1:26">
      <c r="A203" s="242"/>
      <c r="B203" s="242"/>
      <c r="C203" s="242"/>
      <c r="D203" s="242"/>
      <c r="E203" s="242"/>
      <c r="F203" s="242"/>
      <c r="G203" s="208"/>
      <c r="H203" s="208"/>
      <c r="I203" s="208"/>
      <c r="J203" s="208"/>
      <c r="K203" s="208"/>
      <c r="L203" s="208"/>
      <c r="M203" s="208"/>
      <c r="N203" s="208"/>
      <c r="O203" s="208"/>
      <c r="P203" s="208"/>
      <c r="Q203" s="208"/>
      <c r="R203" s="208"/>
      <c r="S203" s="208"/>
      <c r="T203" s="208"/>
      <c r="U203" s="208"/>
      <c r="V203" s="208"/>
      <c r="W203" s="208"/>
      <c r="X203" s="208"/>
      <c r="Y203" s="208"/>
      <c r="Z203" s="208"/>
    </row>
    <row r="204" spans="1:26">
      <c r="A204" s="242"/>
      <c r="B204" s="242"/>
      <c r="C204" s="242"/>
      <c r="D204" s="242"/>
      <c r="E204" s="242"/>
      <c r="F204" s="242"/>
      <c r="G204" s="208"/>
      <c r="H204" s="208"/>
      <c r="I204" s="208"/>
      <c r="J204" s="208"/>
      <c r="K204" s="208"/>
      <c r="L204" s="208"/>
      <c r="M204" s="208"/>
      <c r="N204" s="208"/>
      <c r="O204" s="208"/>
      <c r="P204" s="208"/>
      <c r="Q204" s="208"/>
      <c r="R204" s="208"/>
      <c r="S204" s="208"/>
      <c r="T204" s="208"/>
      <c r="U204" s="208"/>
      <c r="V204" s="208"/>
      <c r="W204" s="208"/>
      <c r="X204" s="208"/>
      <c r="Y204" s="208"/>
      <c r="Z204" s="208"/>
    </row>
    <row r="205" spans="1:26">
      <c r="A205" s="242"/>
      <c r="B205" s="242"/>
      <c r="C205" s="242"/>
      <c r="D205" s="242"/>
      <c r="E205" s="242"/>
      <c r="F205" s="242"/>
      <c r="G205" s="208"/>
      <c r="H205" s="208"/>
      <c r="I205" s="208"/>
      <c r="J205" s="208"/>
      <c r="K205" s="208"/>
      <c r="L205" s="208"/>
      <c r="M205" s="208"/>
      <c r="N205" s="208"/>
      <c r="O205" s="208"/>
      <c r="P205" s="208"/>
      <c r="Q205" s="208"/>
      <c r="R205" s="208"/>
      <c r="S205" s="208"/>
      <c r="T205" s="208"/>
      <c r="U205" s="208"/>
      <c r="V205" s="208"/>
      <c r="W205" s="208"/>
      <c r="X205" s="208"/>
      <c r="Y205" s="208"/>
      <c r="Z205" s="208"/>
    </row>
    <row r="206" spans="1:26">
      <c r="A206" s="242"/>
      <c r="B206" s="242"/>
      <c r="C206" s="242"/>
      <c r="D206" s="242"/>
      <c r="E206" s="242"/>
      <c r="F206" s="242"/>
      <c r="G206" s="208"/>
      <c r="H206" s="208"/>
      <c r="I206" s="208"/>
      <c r="J206" s="208"/>
      <c r="K206" s="208"/>
      <c r="L206" s="208"/>
      <c r="M206" s="208"/>
      <c r="N206" s="208"/>
      <c r="O206" s="208"/>
      <c r="P206" s="208"/>
      <c r="Q206" s="208"/>
      <c r="R206" s="208"/>
      <c r="S206" s="208"/>
      <c r="T206" s="208"/>
      <c r="U206" s="208"/>
      <c r="V206" s="208"/>
      <c r="W206" s="208"/>
      <c r="X206" s="208"/>
      <c r="Y206" s="208"/>
      <c r="Z206" s="208"/>
    </row>
    <row r="207" spans="1:26">
      <c r="A207" s="242"/>
      <c r="B207" s="242"/>
      <c r="C207" s="242"/>
      <c r="D207" s="242"/>
      <c r="E207" s="242"/>
      <c r="F207" s="242"/>
      <c r="G207" s="208"/>
      <c r="H207" s="208"/>
      <c r="I207" s="208"/>
      <c r="J207" s="208"/>
      <c r="K207" s="208"/>
      <c r="L207" s="208"/>
      <c r="M207" s="208"/>
      <c r="N207" s="208"/>
      <c r="O207" s="208"/>
      <c r="P207" s="208"/>
      <c r="Q207" s="208"/>
      <c r="R207" s="208"/>
      <c r="S207" s="208"/>
      <c r="T207" s="208"/>
      <c r="U207" s="208"/>
      <c r="V207" s="208"/>
      <c r="W207" s="208"/>
      <c r="X207" s="208"/>
      <c r="Y207" s="208"/>
      <c r="Z207" s="208"/>
    </row>
    <row r="208" spans="1:26">
      <c r="A208" s="242"/>
      <c r="B208" s="242"/>
      <c r="C208" s="242"/>
      <c r="D208" s="242"/>
      <c r="E208" s="242"/>
      <c r="F208" s="242"/>
      <c r="G208" s="208"/>
      <c r="H208" s="208"/>
      <c r="I208" s="208"/>
      <c r="J208" s="208"/>
      <c r="K208" s="208"/>
      <c r="L208" s="208"/>
      <c r="M208" s="208"/>
      <c r="N208" s="208"/>
      <c r="O208" s="208"/>
      <c r="P208" s="208"/>
      <c r="Q208" s="208"/>
      <c r="R208" s="208"/>
      <c r="S208" s="208"/>
      <c r="T208" s="208"/>
      <c r="U208" s="208"/>
      <c r="V208" s="208"/>
      <c r="W208" s="208"/>
      <c r="X208" s="208"/>
      <c r="Y208" s="208"/>
      <c r="Z208" s="208"/>
    </row>
    <row r="209" spans="1:26">
      <c r="A209" s="242"/>
      <c r="B209" s="242"/>
      <c r="C209" s="242"/>
      <c r="D209" s="242"/>
      <c r="E209" s="242"/>
      <c r="F209" s="242"/>
      <c r="G209" s="208"/>
      <c r="H209" s="208"/>
      <c r="I209" s="208"/>
      <c r="J209" s="208"/>
      <c r="K209" s="208"/>
      <c r="L209" s="208"/>
      <c r="M209" s="208"/>
      <c r="N209" s="208"/>
      <c r="O209" s="208"/>
      <c r="P209" s="208"/>
      <c r="Q209" s="208"/>
      <c r="R209" s="208"/>
      <c r="S209" s="208"/>
      <c r="T209" s="208"/>
      <c r="U209" s="208"/>
      <c r="V209" s="208"/>
      <c r="W209" s="208"/>
      <c r="X209" s="208"/>
      <c r="Y209" s="208"/>
      <c r="Z209" s="208"/>
    </row>
    <row r="210" spans="1:26">
      <c r="A210" s="242"/>
      <c r="B210" s="242"/>
      <c r="C210" s="242"/>
      <c r="D210" s="242"/>
      <c r="E210" s="242"/>
      <c r="F210" s="242"/>
      <c r="G210" s="208"/>
      <c r="H210" s="208"/>
      <c r="I210" s="208"/>
      <c r="J210" s="208"/>
      <c r="K210" s="208"/>
      <c r="L210" s="208"/>
      <c r="M210" s="208"/>
      <c r="N210" s="208"/>
      <c r="O210" s="208"/>
      <c r="P210" s="208"/>
      <c r="Q210" s="208"/>
      <c r="R210" s="208"/>
      <c r="S210" s="208"/>
      <c r="T210" s="208"/>
      <c r="U210" s="208"/>
      <c r="V210" s="208"/>
      <c r="W210" s="208"/>
      <c r="X210" s="208"/>
      <c r="Y210" s="208"/>
      <c r="Z210" s="208"/>
    </row>
    <row r="211" spans="1:26">
      <c r="A211" s="242"/>
      <c r="B211" s="242"/>
      <c r="C211" s="242"/>
      <c r="D211" s="242"/>
      <c r="E211" s="242"/>
      <c r="F211" s="242"/>
      <c r="G211" s="208"/>
      <c r="H211" s="208"/>
      <c r="I211" s="208"/>
      <c r="J211" s="208"/>
      <c r="K211" s="208"/>
      <c r="L211" s="208"/>
      <c r="M211" s="208"/>
      <c r="N211" s="208"/>
      <c r="O211" s="208"/>
      <c r="P211" s="208"/>
      <c r="Q211" s="208"/>
      <c r="R211" s="208"/>
      <c r="S211" s="208"/>
      <c r="T211" s="208"/>
      <c r="U211" s="208"/>
      <c r="V211" s="208"/>
      <c r="W211" s="208"/>
      <c r="X211" s="208"/>
      <c r="Y211" s="208"/>
      <c r="Z211" s="208"/>
    </row>
    <row r="212" spans="1:26">
      <c r="A212" s="242"/>
      <c r="B212" s="242"/>
      <c r="C212" s="242"/>
      <c r="D212" s="242"/>
      <c r="E212" s="242"/>
      <c r="F212" s="242"/>
      <c r="G212" s="208"/>
      <c r="H212" s="208"/>
      <c r="I212" s="208"/>
      <c r="J212" s="208"/>
      <c r="K212" s="208"/>
      <c r="L212" s="208"/>
      <c r="M212" s="208"/>
      <c r="N212" s="208"/>
      <c r="O212" s="208"/>
      <c r="P212" s="208"/>
      <c r="Q212" s="208"/>
      <c r="R212" s="208"/>
      <c r="S212" s="208"/>
      <c r="T212" s="208"/>
      <c r="U212" s="208"/>
      <c r="V212" s="208"/>
      <c r="W212" s="208"/>
      <c r="X212" s="208"/>
      <c r="Y212" s="208"/>
      <c r="Z212" s="208"/>
    </row>
    <row r="213" spans="1:26">
      <c r="A213" s="242"/>
      <c r="B213" s="242"/>
      <c r="C213" s="242"/>
      <c r="D213" s="242"/>
      <c r="E213" s="242"/>
      <c r="F213" s="242"/>
      <c r="G213" s="208"/>
      <c r="H213" s="208"/>
      <c r="I213" s="208"/>
      <c r="J213" s="208"/>
      <c r="K213" s="208"/>
      <c r="L213" s="208"/>
      <c r="M213" s="208"/>
      <c r="N213" s="208"/>
      <c r="O213" s="208"/>
      <c r="P213" s="208"/>
      <c r="Q213" s="208"/>
      <c r="R213" s="208"/>
      <c r="S213" s="208"/>
      <c r="T213" s="208"/>
      <c r="U213" s="208"/>
      <c r="V213" s="208"/>
      <c r="W213" s="208"/>
      <c r="X213" s="208"/>
      <c r="Y213" s="208"/>
      <c r="Z213" s="208"/>
    </row>
    <row r="214" spans="1:26">
      <c r="A214" s="242"/>
      <c r="B214" s="242"/>
      <c r="C214" s="242"/>
      <c r="D214" s="242"/>
      <c r="E214" s="242"/>
      <c r="F214" s="242"/>
      <c r="G214" s="208"/>
      <c r="H214" s="208"/>
      <c r="I214" s="208"/>
      <c r="J214" s="208"/>
      <c r="K214" s="208"/>
      <c r="L214" s="208"/>
      <c r="M214" s="208"/>
      <c r="N214" s="208"/>
      <c r="O214" s="208"/>
      <c r="P214" s="208"/>
      <c r="Q214" s="208"/>
      <c r="R214" s="208"/>
      <c r="S214" s="208"/>
      <c r="T214" s="208"/>
      <c r="U214" s="208"/>
      <c r="V214" s="208"/>
      <c r="W214" s="208"/>
      <c r="X214" s="208"/>
      <c r="Y214" s="208"/>
      <c r="Z214" s="208"/>
    </row>
    <row r="215" spans="1:26">
      <c r="A215" s="242"/>
      <c r="B215" s="242"/>
      <c r="C215" s="242"/>
      <c r="D215" s="242"/>
      <c r="E215" s="242"/>
      <c r="F215" s="242"/>
      <c r="G215" s="208"/>
      <c r="H215" s="208"/>
      <c r="I215" s="208"/>
      <c r="J215" s="208"/>
      <c r="K215" s="208"/>
      <c r="L215" s="208"/>
      <c r="M215" s="208"/>
      <c r="N215" s="208"/>
      <c r="O215" s="208"/>
      <c r="P215" s="208"/>
      <c r="Q215" s="208"/>
      <c r="R215" s="208"/>
      <c r="S215" s="208"/>
      <c r="T215" s="208"/>
      <c r="U215" s="208"/>
      <c r="V215" s="208"/>
      <c r="W215" s="208"/>
      <c r="X215" s="208"/>
      <c r="Y215" s="208"/>
      <c r="Z215" s="208"/>
    </row>
    <row r="216" spans="1:26">
      <c r="A216" s="242"/>
      <c r="B216" s="242"/>
      <c r="C216" s="242"/>
      <c r="D216" s="242"/>
      <c r="E216" s="242"/>
      <c r="F216" s="242"/>
      <c r="G216" s="208"/>
      <c r="H216" s="208"/>
      <c r="I216" s="208"/>
      <c r="J216" s="208"/>
      <c r="K216" s="208"/>
      <c r="L216" s="208"/>
      <c r="M216" s="208"/>
      <c r="N216" s="208"/>
      <c r="O216" s="208"/>
      <c r="P216" s="208"/>
      <c r="Q216" s="208"/>
      <c r="R216" s="208"/>
      <c r="S216" s="208"/>
      <c r="T216" s="208"/>
      <c r="U216" s="208"/>
      <c r="V216" s="208"/>
      <c r="W216" s="208"/>
      <c r="X216" s="208"/>
      <c r="Y216" s="208"/>
      <c r="Z216" s="208"/>
    </row>
    <row r="217" spans="1:26">
      <c r="A217" s="242"/>
      <c r="B217" s="242"/>
      <c r="C217" s="242"/>
      <c r="D217" s="242"/>
      <c r="E217" s="242"/>
      <c r="F217" s="242"/>
      <c r="G217" s="208"/>
      <c r="H217" s="208"/>
      <c r="I217" s="208"/>
      <c r="J217" s="208"/>
      <c r="K217" s="208"/>
      <c r="L217" s="208"/>
      <c r="M217" s="208"/>
      <c r="N217" s="208"/>
      <c r="O217" s="208"/>
      <c r="P217" s="208"/>
      <c r="Q217" s="208"/>
      <c r="R217" s="208"/>
      <c r="S217" s="208"/>
      <c r="T217" s="208"/>
      <c r="U217" s="208"/>
      <c r="V217" s="208"/>
      <c r="W217" s="208"/>
      <c r="X217" s="208"/>
      <c r="Y217" s="208"/>
      <c r="Z217" s="208"/>
    </row>
    <row r="218" spans="1:26">
      <c r="A218" s="242"/>
      <c r="B218" s="242"/>
      <c r="C218" s="242"/>
      <c r="D218" s="242"/>
      <c r="E218" s="242"/>
      <c r="F218" s="242"/>
      <c r="G218" s="208"/>
      <c r="H218" s="208"/>
      <c r="I218" s="208"/>
      <c r="J218" s="208"/>
      <c r="K218" s="208"/>
      <c r="L218" s="208"/>
      <c r="M218" s="208"/>
      <c r="N218" s="208"/>
      <c r="O218" s="208"/>
      <c r="P218" s="208"/>
      <c r="Q218" s="208"/>
      <c r="R218" s="208"/>
      <c r="S218" s="208"/>
      <c r="T218" s="208"/>
      <c r="U218" s="208"/>
      <c r="V218" s="208"/>
      <c r="W218" s="208"/>
      <c r="X218" s="208"/>
      <c r="Y218" s="208"/>
      <c r="Z218" s="208"/>
    </row>
    <row r="219" spans="1:26">
      <c r="A219" s="242"/>
      <c r="B219" s="242"/>
      <c r="C219" s="242"/>
      <c r="D219" s="242"/>
      <c r="E219" s="242"/>
      <c r="F219" s="242"/>
      <c r="G219" s="208"/>
      <c r="H219" s="208"/>
      <c r="I219" s="208"/>
      <c r="J219" s="208"/>
      <c r="K219" s="208"/>
      <c r="L219" s="208"/>
      <c r="M219" s="208"/>
      <c r="N219" s="208"/>
      <c r="O219" s="208"/>
      <c r="P219" s="208"/>
      <c r="Q219" s="208"/>
      <c r="R219" s="208"/>
      <c r="S219" s="208"/>
      <c r="T219" s="208"/>
      <c r="U219" s="208"/>
      <c r="V219" s="208"/>
      <c r="W219" s="208"/>
      <c r="X219" s="208"/>
      <c r="Y219" s="208"/>
      <c r="Z219" s="208"/>
    </row>
    <row r="220" spans="1:26">
      <c r="A220" s="242"/>
      <c r="B220" s="242"/>
      <c r="C220" s="242"/>
      <c r="D220" s="242"/>
      <c r="E220" s="242"/>
      <c r="F220" s="242"/>
      <c r="G220" s="208"/>
      <c r="H220" s="208"/>
      <c r="I220" s="208"/>
      <c r="J220" s="208"/>
      <c r="K220" s="208"/>
      <c r="L220" s="208"/>
      <c r="M220" s="208"/>
      <c r="N220" s="208"/>
      <c r="O220" s="208"/>
      <c r="P220" s="208"/>
      <c r="Q220" s="208"/>
      <c r="R220" s="208"/>
      <c r="S220" s="208"/>
      <c r="T220" s="208"/>
      <c r="U220" s="208"/>
      <c r="V220" s="208"/>
      <c r="W220" s="208"/>
      <c r="X220" s="208"/>
      <c r="Y220" s="208"/>
      <c r="Z220" s="208"/>
    </row>
    <row r="221" spans="1:26">
      <c r="A221" s="242"/>
      <c r="B221" s="242"/>
      <c r="C221" s="242"/>
      <c r="D221" s="242"/>
      <c r="E221" s="242"/>
      <c r="F221" s="242"/>
      <c r="G221" s="208"/>
      <c r="H221" s="208"/>
      <c r="I221" s="208"/>
      <c r="J221" s="208"/>
      <c r="K221" s="208"/>
      <c r="L221" s="208"/>
      <c r="M221" s="208"/>
      <c r="N221" s="208"/>
      <c r="O221" s="208"/>
      <c r="P221" s="208"/>
      <c r="Q221" s="208"/>
      <c r="R221" s="208"/>
      <c r="S221" s="208"/>
      <c r="T221" s="208"/>
      <c r="U221" s="208"/>
      <c r="V221" s="208"/>
      <c r="W221" s="208"/>
      <c r="X221" s="208"/>
      <c r="Y221" s="208"/>
      <c r="Z221" s="208"/>
    </row>
    <row r="222" spans="1:26">
      <c r="A222" s="242"/>
      <c r="B222" s="242"/>
      <c r="C222" s="242"/>
      <c r="D222" s="242"/>
      <c r="E222" s="242"/>
      <c r="F222" s="242"/>
      <c r="G222" s="208"/>
      <c r="H222" s="208"/>
      <c r="I222" s="208"/>
      <c r="J222" s="208"/>
      <c r="K222" s="208"/>
      <c r="L222" s="208"/>
      <c r="M222" s="208"/>
      <c r="N222" s="208"/>
      <c r="O222" s="208"/>
      <c r="P222" s="208"/>
      <c r="Q222" s="208"/>
      <c r="R222" s="208"/>
      <c r="S222" s="208"/>
      <c r="T222" s="208"/>
      <c r="U222" s="208"/>
      <c r="V222" s="208"/>
      <c r="W222" s="208"/>
      <c r="X222" s="208"/>
      <c r="Y222" s="208"/>
      <c r="Z222" s="208"/>
    </row>
    <row r="223" spans="1:26">
      <c r="A223" s="242"/>
      <c r="B223" s="242"/>
      <c r="C223" s="242"/>
      <c r="D223" s="242"/>
      <c r="E223" s="242"/>
      <c r="F223" s="242"/>
      <c r="G223" s="208"/>
      <c r="H223" s="208"/>
      <c r="I223" s="208"/>
      <c r="J223" s="208"/>
      <c r="K223" s="208"/>
      <c r="L223" s="208"/>
      <c r="M223" s="208"/>
      <c r="N223" s="208"/>
      <c r="O223" s="208"/>
      <c r="P223" s="208"/>
      <c r="Q223" s="208"/>
      <c r="R223" s="208"/>
      <c r="S223" s="208"/>
      <c r="T223" s="208"/>
      <c r="U223" s="208"/>
      <c r="V223" s="208"/>
      <c r="W223" s="208"/>
      <c r="X223" s="208"/>
      <c r="Y223" s="208"/>
      <c r="Z223" s="208"/>
    </row>
    <row r="224" spans="1:26">
      <c r="A224" s="242"/>
      <c r="B224" s="242"/>
      <c r="C224" s="242"/>
      <c r="D224" s="242"/>
      <c r="E224" s="242"/>
      <c r="F224" s="242"/>
      <c r="G224" s="208"/>
      <c r="H224" s="208"/>
      <c r="I224" s="208"/>
      <c r="J224" s="208"/>
      <c r="K224" s="208"/>
      <c r="L224" s="208"/>
      <c r="M224" s="208"/>
      <c r="N224" s="208"/>
      <c r="O224" s="208"/>
      <c r="P224" s="208"/>
      <c r="Q224" s="208"/>
      <c r="R224" s="208"/>
      <c r="S224" s="208"/>
      <c r="T224" s="208"/>
      <c r="U224" s="208"/>
      <c r="V224" s="208"/>
      <c r="W224" s="208"/>
      <c r="X224" s="208"/>
      <c r="Y224" s="208"/>
      <c r="Z224" s="208"/>
    </row>
    <row r="225" spans="1:26">
      <c r="A225" s="242"/>
      <c r="B225" s="242"/>
      <c r="C225" s="242"/>
      <c r="D225" s="242"/>
      <c r="E225" s="242"/>
      <c r="F225" s="242"/>
      <c r="G225" s="208"/>
      <c r="H225" s="208"/>
      <c r="I225" s="208"/>
      <c r="J225" s="208"/>
      <c r="K225" s="208"/>
      <c r="L225" s="208"/>
      <c r="M225" s="208"/>
      <c r="N225" s="208"/>
      <c r="O225" s="208"/>
      <c r="P225" s="208"/>
      <c r="Q225" s="208"/>
      <c r="R225" s="208"/>
      <c r="S225" s="208"/>
      <c r="T225" s="208"/>
      <c r="U225" s="208"/>
      <c r="V225" s="208"/>
      <c r="W225" s="208"/>
      <c r="X225" s="208"/>
      <c r="Y225" s="208"/>
      <c r="Z225" s="208"/>
    </row>
    <row r="226" spans="1:26">
      <c r="A226" s="242"/>
      <c r="B226" s="242"/>
      <c r="C226" s="242"/>
      <c r="D226" s="242"/>
      <c r="E226" s="242"/>
      <c r="F226" s="242"/>
      <c r="G226" s="208"/>
      <c r="H226" s="208"/>
      <c r="I226" s="208"/>
      <c r="J226" s="208"/>
      <c r="K226" s="208"/>
      <c r="L226" s="208"/>
      <c r="M226" s="208"/>
      <c r="N226" s="208"/>
      <c r="O226" s="208"/>
      <c r="P226" s="208"/>
      <c r="Q226" s="208"/>
      <c r="R226" s="208"/>
      <c r="S226" s="208"/>
      <c r="T226" s="208"/>
      <c r="U226" s="208"/>
      <c r="V226" s="208"/>
      <c r="W226" s="208"/>
      <c r="X226" s="208"/>
      <c r="Y226" s="208"/>
      <c r="Z226" s="208"/>
    </row>
    <row r="227" spans="1:26">
      <c r="A227" s="242"/>
      <c r="B227" s="242"/>
      <c r="C227" s="242"/>
      <c r="D227" s="242"/>
      <c r="E227" s="242"/>
      <c r="F227" s="242"/>
      <c r="G227" s="208"/>
      <c r="H227" s="208"/>
      <c r="I227" s="208"/>
      <c r="J227" s="208"/>
      <c r="K227" s="208"/>
      <c r="L227" s="208"/>
      <c r="M227" s="208"/>
      <c r="N227" s="208"/>
      <c r="O227" s="208"/>
      <c r="P227" s="208"/>
      <c r="Q227" s="208"/>
      <c r="R227" s="208"/>
      <c r="S227" s="208"/>
      <c r="T227" s="208"/>
      <c r="U227" s="208"/>
      <c r="V227" s="208"/>
      <c r="W227" s="208"/>
      <c r="X227" s="208"/>
      <c r="Y227" s="208"/>
      <c r="Z227" s="208"/>
    </row>
    <row r="228" spans="1:26">
      <c r="A228" s="242"/>
      <c r="B228" s="242"/>
      <c r="C228" s="242"/>
      <c r="D228" s="242"/>
      <c r="E228" s="242"/>
      <c r="F228" s="242"/>
      <c r="G228" s="208"/>
      <c r="H228" s="208"/>
      <c r="I228" s="208"/>
      <c r="J228" s="208"/>
      <c r="K228" s="208"/>
      <c r="L228" s="208"/>
      <c r="M228" s="208"/>
      <c r="N228" s="208"/>
      <c r="O228" s="208"/>
      <c r="P228" s="208"/>
      <c r="Q228" s="208"/>
      <c r="R228" s="208"/>
      <c r="S228" s="208"/>
      <c r="T228" s="208"/>
      <c r="U228" s="208"/>
      <c r="V228" s="208"/>
      <c r="W228" s="208"/>
      <c r="X228" s="208"/>
      <c r="Y228" s="208"/>
      <c r="Z228" s="208"/>
    </row>
    <row r="229" spans="1:26">
      <c r="A229" s="242"/>
      <c r="B229" s="242"/>
      <c r="C229" s="242"/>
      <c r="D229" s="242"/>
      <c r="E229" s="242"/>
      <c r="F229" s="242"/>
      <c r="G229" s="208"/>
      <c r="H229" s="208"/>
      <c r="I229" s="208"/>
      <c r="J229" s="208"/>
      <c r="K229" s="208"/>
      <c r="L229" s="208"/>
      <c r="M229" s="208"/>
      <c r="N229" s="208"/>
      <c r="O229" s="208"/>
      <c r="P229" s="208"/>
      <c r="Q229" s="208"/>
      <c r="R229" s="208"/>
      <c r="S229" s="208"/>
      <c r="T229" s="208"/>
      <c r="U229" s="208"/>
      <c r="V229" s="208"/>
      <c r="W229" s="208"/>
      <c r="X229" s="208"/>
      <c r="Y229" s="208"/>
      <c r="Z229" s="208"/>
    </row>
    <row r="230" spans="1:26">
      <c r="A230" s="242"/>
      <c r="B230" s="242"/>
      <c r="C230" s="242"/>
      <c r="D230" s="242"/>
      <c r="E230" s="242"/>
      <c r="F230" s="242"/>
      <c r="G230" s="208"/>
      <c r="H230" s="208"/>
      <c r="I230" s="208"/>
      <c r="J230" s="208"/>
      <c r="K230" s="208"/>
      <c r="L230" s="208"/>
      <c r="M230" s="208"/>
      <c r="N230" s="208"/>
      <c r="O230" s="208"/>
      <c r="P230" s="208"/>
      <c r="Q230" s="208"/>
      <c r="R230" s="208"/>
      <c r="S230" s="208"/>
      <c r="T230" s="208"/>
      <c r="U230" s="208"/>
      <c r="V230" s="208"/>
      <c r="W230" s="208"/>
      <c r="X230" s="208"/>
      <c r="Y230" s="208"/>
      <c r="Z230" s="208"/>
    </row>
    <row r="231" spans="1:26">
      <c r="A231" s="242"/>
      <c r="B231" s="242"/>
      <c r="C231" s="242"/>
      <c r="D231" s="242"/>
      <c r="E231" s="242"/>
      <c r="F231" s="242"/>
      <c r="G231" s="208"/>
      <c r="H231" s="208"/>
      <c r="I231" s="208"/>
      <c r="J231" s="208"/>
      <c r="K231" s="208"/>
      <c r="L231" s="208"/>
      <c r="M231" s="208"/>
      <c r="N231" s="208"/>
      <c r="O231" s="208"/>
      <c r="P231" s="208"/>
      <c r="Q231" s="208"/>
      <c r="R231" s="208"/>
      <c r="S231" s="208"/>
      <c r="T231" s="208"/>
      <c r="U231" s="208"/>
      <c r="V231" s="208"/>
      <c r="W231" s="208"/>
      <c r="X231" s="208"/>
      <c r="Y231" s="208"/>
      <c r="Z231" s="208"/>
    </row>
    <row r="232" spans="1:26">
      <c r="A232" s="242"/>
      <c r="B232" s="242"/>
      <c r="C232" s="242"/>
      <c r="D232" s="242"/>
      <c r="E232" s="242"/>
      <c r="F232" s="242"/>
      <c r="G232" s="208"/>
      <c r="H232" s="208"/>
      <c r="I232" s="208"/>
      <c r="J232" s="208"/>
      <c r="K232" s="208"/>
      <c r="L232" s="208"/>
      <c r="M232" s="208"/>
      <c r="N232" s="208"/>
      <c r="O232" s="208"/>
      <c r="P232" s="208"/>
      <c r="Q232" s="208"/>
      <c r="R232" s="208"/>
      <c r="S232" s="208"/>
      <c r="T232" s="208"/>
      <c r="U232" s="208"/>
      <c r="V232" s="208"/>
      <c r="W232" s="208"/>
      <c r="X232" s="208"/>
      <c r="Y232" s="208"/>
      <c r="Z232" s="208"/>
    </row>
    <row r="233" spans="1:26">
      <c r="A233" s="242"/>
      <c r="B233" s="242"/>
      <c r="C233" s="242"/>
      <c r="D233" s="242"/>
      <c r="E233" s="242"/>
      <c r="F233" s="242"/>
      <c r="G233" s="208"/>
      <c r="H233" s="208"/>
      <c r="I233" s="208"/>
      <c r="J233" s="208"/>
      <c r="K233" s="208"/>
      <c r="L233" s="208"/>
      <c r="M233" s="208"/>
      <c r="N233" s="208"/>
      <c r="O233" s="208"/>
      <c r="P233" s="208"/>
      <c r="Q233" s="208"/>
      <c r="R233" s="208"/>
      <c r="S233" s="208"/>
      <c r="T233" s="208"/>
      <c r="U233" s="208"/>
      <c r="V233" s="208"/>
      <c r="W233" s="208"/>
      <c r="X233" s="208"/>
      <c r="Y233" s="208"/>
      <c r="Z233" s="208"/>
    </row>
    <row r="234" spans="1:26">
      <c r="A234" s="242"/>
      <c r="B234" s="242"/>
      <c r="C234" s="242"/>
      <c r="D234" s="242"/>
      <c r="E234" s="242"/>
      <c r="F234" s="242"/>
      <c r="G234" s="208"/>
      <c r="H234" s="208"/>
      <c r="I234" s="208"/>
      <c r="J234" s="208"/>
      <c r="K234" s="208"/>
      <c r="L234" s="208"/>
      <c r="M234" s="208"/>
      <c r="N234" s="208"/>
      <c r="O234" s="208"/>
      <c r="P234" s="208"/>
      <c r="Q234" s="208"/>
      <c r="R234" s="208"/>
      <c r="S234" s="208"/>
      <c r="T234" s="208"/>
      <c r="U234" s="208"/>
      <c r="V234" s="208"/>
      <c r="W234" s="208"/>
      <c r="X234" s="208"/>
      <c r="Y234" s="208"/>
      <c r="Z234" s="208"/>
    </row>
    <row r="235" spans="1:26">
      <c r="A235" s="242"/>
      <c r="B235" s="242"/>
      <c r="C235" s="242"/>
      <c r="D235" s="242"/>
      <c r="E235" s="242"/>
      <c r="F235" s="242"/>
      <c r="G235" s="208"/>
      <c r="H235" s="208"/>
      <c r="I235" s="208"/>
      <c r="J235" s="208"/>
      <c r="K235" s="208"/>
      <c r="L235" s="208"/>
      <c r="M235" s="208"/>
      <c r="N235" s="208"/>
      <c r="O235" s="208"/>
      <c r="P235" s="208"/>
      <c r="Q235" s="208"/>
      <c r="R235" s="208"/>
      <c r="S235" s="208"/>
      <c r="T235" s="208"/>
      <c r="U235" s="208"/>
      <c r="V235" s="208"/>
      <c r="W235" s="208"/>
      <c r="X235" s="208"/>
      <c r="Y235" s="208"/>
      <c r="Z235" s="208"/>
    </row>
    <row r="236" spans="1:26">
      <c r="A236" s="242"/>
      <c r="B236" s="242"/>
      <c r="C236" s="242"/>
      <c r="D236" s="242"/>
      <c r="E236" s="242"/>
      <c r="F236" s="242"/>
      <c r="G236" s="208"/>
      <c r="H236" s="208"/>
      <c r="I236" s="208"/>
      <c r="J236" s="208"/>
      <c r="K236" s="208"/>
      <c r="L236" s="208"/>
      <c r="M236" s="208"/>
      <c r="N236" s="208"/>
      <c r="O236" s="208"/>
      <c r="P236" s="208"/>
      <c r="Q236" s="208"/>
      <c r="R236" s="208"/>
      <c r="S236" s="208"/>
      <c r="T236" s="208"/>
      <c r="U236" s="208"/>
      <c r="V236" s="208"/>
      <c r="W236" s="208"/>
      <c r="X236" s="208"/>
      <c r="Y236" s="208"/>
      <c r="Z236" s="208"/>
    </row>
    <row r="237" spans="1:26">
      <c r="A237" s="242"/>
      <c r="B237" s="242"/>
      <c r="C237" s="242"/>
      <c r="D237" s="242"/>
      <c r="E237" s="242"/>
      <c r="F237" s="242"/>
      <c r="G237" s="208"/>
      <c r="H237" s="208"/>
      <c r="I237" s="208"/>
      <c r="J237" s="208"/>
      <c r="K237" s="208"/>
      <c r="L237" s="208"/>
      <c r="M237" s="208"/>
      <c r="N237" s="208"/>
      <c r="O237" s="208"/>
      <c r="P237" s="208"/>
      <c r="Q237" s="208"/>
      <c r="R237" s="208"/>
      <c r="S237" s="208"/>
      <c r="T237" s="208"/>
      <c r="U237" s="208"/>
      <c r="V237" s="208"/>
      <c r="W237" s="208"/>
      <c r="X237" s="208"/>
      <c r="Y237" s="208"/>
      <c r="Z237" s="208"/>
    </row>
    <row r="238" spans="1:26">
      <c r="A238" s="242"/>
      <c r="B238" s="242"/>
      <c r="C238" s="242"/>
      <c r="D238" s="242"/>
      <c r="E238" s="242"/>
      <c r="F238" s="242"/>
      <c r="G238" s="208"/>
      <c r="H238" s="208"/>
      <c r="I238" s="208"/>
      <c r="J238" s="208"/>
      <c r="K238" s="208"/>
      <c r="L238" s="208"/>
      <c r="M238" s="208"/>
      <c r="N238" s="208"/>
      <c r="O238" s="208"/>
      <c r="P238" s="208"/>
      <c r="Q238" s="208"/>
      <c r="R238" s="208"/>
      <c r="S238" s="208"/>
      <c r="T238" s="208"/>
      <c r="U238" s="208"/>
      <c r="V238" s="208"/>
      <c r="W238" s="208"/>
      <c r="X238" s="208"/>
      <c r="Y238" s="208"/>
      <c r="Z238" s="208"/>
    </row>
    <row r="239" spans="1:26">
      <c r="A239" s="242"/>
      <c r="B239" s="242"/>
      <c r="C239" s="242"/>
      <c r="D239" s="242"/>
      <c r="E239" s="242"/>
      <c r="F239" s="242"/>
      <c r="G239" s="208"/>
      <c r="H239" s="208"/>
      <c r="I239" s="208"/>
      <c r="J239" s="208"/>
      <c r="K239" s="208"/>
      <c r="L239" s="208"/>
      <c r="M239" s="208"/>
      <c r="N239" s="208"/>
      <c r="O239" s="208"/>
      <c r="P239" s="208"/>
      <c r="Q239" s="208"/>
      <c r="R239" s="208"/>
      <c r="S239" s="208"/>
      <c r="T239" s="208"/>
      <c r="U239" s="208"/>
      <c r="V239" s="208"/>
      <c r="W239" s="208"/>
      <c r="X239" s="208"/>
      <c r="Y239" s="208"/>
      <c r="Z239" s="208"/>
    </row>
    <row r="240" spans="1:26">
      <c r="A240" s="242"/>
      <c r="B240" s="242"/>
      <c r="C240" s="242"/>
      <c r="D240" s="242"/>
      <c r="E240" s="242"/>
      <c r="F240" s="242"/>
      <c r="G240" s="208"/>
      <c r="H240" s="208"/>
      <c r="I240" s="208"/>
      <c r="J240" s="208"/>
      <c r="K240" s="208"/>
      <c r="L240" s="208"/>
      <c r="M240" s="208"/>
      <c r="N240" s="208"/>
      <c r="O240" s="208"/>
      <c r="P240" s="208"/>
      <c r="Q240" s="208"/>
      <c r="R240" s="208"/>
      <c r="S240" s="208"/>
      <c r="T240" s="208"/>
      <c r="U240" s="208"/>
      <c r="V240" s="208"/>
      <c r="W240" s="208"/>
      <c r="X240" s="208"/>
      <c r="Y240" s="208"/>
      <c r="Z240" s="208"/>
    </row>
    <row r="241" spans="1:26">
      <c r="A241" s="242"/>
      <c r="B241" s="242"/>
      <c r="C241" s="242"/>
      <c r="D241" s="242"/>
      <c r="E241" s="242"/>
      <c r="F241" s="242"/>
      <c r="G241" s="208"/>
      <c r="H241" s="208"/>
      <c r="I241" s="208"/>
      <c r="J241" s="208"/>
      <c r="K241" s="208"/>
      <c r="L241" s="208"/>
      <c r="M241" s="208"/>
      <c r="N241" s="208"/>
      <c r="O241" s="208"/>
      <c r="P241" s="208"/>
      <c r="Q241" s="208"/>
      <c r="R241" s="208"/>
      <c r="S241" s="208"/>
      <c r="T241" s="208"/>
      <c r="U241" s="208"/>
      <c r="V241" s="208"/>
      <c r="W241" s="208"/>
      <c r="X241" s="208"/>
      <c r="Y241" s="208"/>
      <c r="Z241" s="208"/>
    </row>
    <row r="242" spans="1:26">
      <c r="A242" s="242"/>
      <c r="B242" s="242"/>
      <c r="C242" s="242"/>
      <c r="D242" s="242"/>
      <c r="E242" s="242"/>
      <c r="F242" s="242"/>
      <c r="G242" s="208"/>
      <c r="H242" s="208"/>
      <c r="I242" s="208"/>
      <c r="J242" s="208"/>
      <c r="K242" s="208"/>
      <c r="L242" s="208"/>
      <c r="M242" s="208"/>
      <c r="N242" s="208"/>
      <c r="O242" s="208"/>
      <c r="P242" s="208"/>
      <c r="Q242" s="208"/>
      <c r="R242" s="208"/>
      <c r="S242" s="208"/>
      <c r="T242" s="208"/>
      <c r="U242" s="208"/>
      <c r="V242" s="208"/>
      <c r="W242" s="208"/>
      <c r="X242" s="208"/>
      <c r="Y242" s="208"/>
      <c r="Z242" s="208"/>
    </row>
    <row r="243" spans="1:26">
      <c r="A243" s="242"/>
      <c r="B243" s="242"/>
      <c r="C243" s="242"/>
      <c r="D243" s="242"/>
      <c r="E243" s="242"/>
      <c r="F243" s="242"/>
      <c r="G243" s="208"/>
      <c r="H243" s="208"/>
      <c r="I243" s="208"/>
      <c r="J243" s="208"/>
      <c r="K243" s="208"/>
      <c r="L243" s="208"/>
      <c r="M243" s="208"/>
      <c r="N243" s="208"/>
      <c r="O243" s="208"/>
      <c r="P243" s="208"/>
      <c r="Q243" s="208"/>
      <c r="R243" s="208"/>
      <c r="S243" s="208"/>
      <c r="T243" s="208"/>
      <c r="U243" s="208"/>
      <c r="V243" s="208"/>
      <c r="W243" s="208"/>
      <c r="X243" s="208"/>
      <c r="Y243" s="208"/>
      <c r="Z243" s="208"/>
    </row>
    <row r="244" spans="1:26">
      <c r="A244" s="242"/>
      <c r="B244" s="242"/>
      <c r="C244" s="242"/>
      <c r="D244" s="242"/>
      <c r="E244" s="242"/>
      <c r="F244" s="242"/>
      <c r="G244" s="208"/>
      <c r="H244" s="208"/>
      <c r="I244" s="208"/>
      <c r="J244" s="208"/>
      <c r="K244" s="208"/>
      <c r="L244" s="208"/>
      <c r="M244" s="208"/>
      <c r="N244" s="208"/>
      <c r="O244" s="208"/>
      <c r="P244" s="208"/>
      <c r="Q244" s="208"/>
      <c r="R244" s="208"/>
      <c r="S244" s="208"/>
      <c r="T244" s="208"/>
      <c r="U244" s="208"/>
      <c r="V244" s="208"/>
      <c r="W244" s="208"/>
      <c r="X244" s="208"/>
      <c r="Y244" s="208"/>
      <c r="Z244" s="208"/>
    </row>
    <row r="245" spans="1:26">
      <c r="A245" s="242"/>
      <c r="B245" s="242"/>
      <c r="C245" s="242"/>
      <c r="D245" s="242"/>
      <c r="E245" s="242"/>
      <c r="F245" s="242"/>
      <c r="G245" s="208"/>
      <c r="H245" s="208"/>
      <c r="I245" s="208"/>
      <c r="J245" s="208"/>
      <c r="K245" s="208"/>
      <c r="L245" s="208"/>
      <c r="M245" s="208"/>
      <c r="N245" s="208"/>
      <c r="O245" s="208"/>
      <c r="P245" s="208"/>
      <c r="Q245" s="208"/>
      <c r="R245" s="208"/>
      <c r="S245" s="208"/>
      <c r="T245" s="208"/>
      <c r="U245" s="208"/>
      <c r="V245" s="208"/>
      <c r="W245" s="208"/>
      <c r="X245" s="208"/>
      <c r="Y245" s="208"/>
      <c r="Z245" s="208"/>
    </row>
    <row r="246" spans="1:26">
      <c r="A246" s="242"/>
      <c r="B246" s="242"/>
      <c r="C246" s="242"/>
      <c r="D246" s="242"/>
      <c r="E246" s="242"/>
      <c r="F246" s="242"/>
      <c r="G246" s="208"/>
      <c r="H246" s="208"/>
      <c r="I246" s="208"/>
      <c r="J246" s="208"/>
      <c r="K246" s="208"/>
      <c r="L246" s="208"/>
      <c r="M246" s="208"/>
      <c r="N246" s="208"/>
      <c r="O246" s="208"/>
      <c r="P246" s="208"/>
      <c r="Q246" s="208"/>
      <c r="R246" s="208"/>
      <c r="S246" s="208"/>
      <c r="T246" s="208"/>
      <c r="U246" s="208"/>
      <c r="V246" s="208"/>
      <c r="W246" s="208"/>
      <c r="X246" s="208"/>
      <c r="Y246" s="208"/>
      <c r="Z246" s="208"/>
    </row>
    <row r="247" spans="1:26">
      <c r="A247" s="242"/>
      <c r="B247" s="242"/>
      <c r="C247" s="242"/>
      <c r="D247" s="242"/>
      <c r="E247" s="242"/>
      <c r="F247" s="242"/>
      <c r="G247" s="208"/>
      <c r="H247" s="208"/>
      <c r="I247" s="208"/>
      <c r="J247" s="208"/>
      <c r="K247" s="208"/>
      <c r="L247" s="208"/>
      <c r="M247" s="208"/>
      <c r="N247" s="208"/>
      <c r="O247" s="208"/>
      <c r="P247" s="208"/>
      <c r="Q247" s="208"/>
      <c r="R247" s="208"/>
      <c r="S247" s="208"/>
      <c r="T247" s="208"/>
      <c r="U247" s="208"/>
      <c r="V247" s="208"/>
      <c r="W247" s="208"/>
      <c r="X247" s="208"/>
      <c r="Y247" s="208"/>
      <c r="Z247" s="208"/>
    </row>
    <row r="248" spans="1:26">
      <c r="A248" s="242"/>
      <c r="B248" s="242"/>
      <c r="C248" s="242"/>
      <c r="D248" s="242"/>
      <c r="E248" s="242"/>
      <c r="F248" s="242"/>
      <c r="G248" s="208"/>
      <c r="H248" s="208"/>
      <c r="I248" s="208"/>
      <c r="J248" s="208"/>
      <c r="K248" s="208"/>
      <c r="L248" s="208"/>
      <c r="M248" s="208"/>
      <c r="N248" s="208"/>
      <c r="O248" s="208"/>
      <c r="P248" s="208"/>
      <c r="Q248" s="208"/>
      <c r="R248" s="208"/>
      <c r="S248" s="208"/>
      <c r="T248" s="208"/>
      <c r="U248" s="208"/>
      <c r="V248" s="208"/>
      <c r="W248" s="208"/>
      <c r="X248" s="208"/>
      <c r="Y248" s="208"/>
      <c r="Z248" s="208"/>
    </row>
    <row r="249" spans="1:26">
      <c r="A249" s="242"/>
      <c r="B249" s="242"/>
      <c r="C249" s="242"/>
      <c r="D249" s="242"/>
      <c r="E249" s="242"/>
      <c r="F249" s="242"/>
      <c r="G249" s="208"/>
      <c r="H249" s="208"/>
      <c r="I249" s="208"/>
      <c r="J249" s="208"/>
      <c r="K249" s="208"/>
      <c r="L249" s="208"/>
      <c r="M249" s="208"/>
      <c r="N249" s="208"/>
      <c r="O249" s="208"/>
      <c r="P249" s="208"/>
      <c r="Q249" s="208"/>
      <c r="R249" s="208"/>
      <c r="S249" s="208"/>
      <c r="T249" s="208"/>
      <c r="U249" s="208"/>
      <c r="V249" s="208"/>
      <c r="W249" s="208"/>
      <c r="X249" s="208"/>
      <c r="Y249" s="208"/>
      <c r="Z249" s="208"/>
    </row>
    <row r="250" spans="1:26">
      <c r="A250" s="242"/>
      <c r="B250" s="242"/>
      <c r="C250" s="242"/>
      <c r="D250" s="242"/>
      <c r="E250" s="242"/>
      <c r="F250" s="242"/>
      <c r="G250" s="208"/>
      <c r="H250" s="208"/>
      <c r="I250" s="208"/>
      <c r="J250" s="208"/>
      <c r="K250" s="208"/>
      <c r="L250" s="208"/>
      <c r="M250" s="208"/>
      <c r="N250" s="208"/>
      <c r="O250" s="208"/>
      <c r="P250" s="208"/>
      <c r="Q250" s="208"/>
      <c r="R250" s="208"/>
      <c r="S250" s="208"/>
      <c r="T250" s="208"/>
      <c r="U250" s="208"/>
      <c r="V250" s="208"/>
      <c r="W250" s="208"/>
      <c r="X250" s="208"/>
      <c r="Y250" s="208"/>
      <c r="Z250" s="208"/>
    </row>
    <row r="251" spans="1:26">
      <c r="A251" s="242"/>
      <c r="B251" s="242"/>
      <c r="C251" s="242"/>
      <c r="D251" s="242"/>
      <c r="E251" s="242"/>
      <c r="F251" s="242"/>
      <c r="G251" s="208"/>
      <c r="H251" s="208"/>
      <c r="I251" s="208"/>
      <c r="J251" s="208"/>
      <c r="K251" s="208"/>
      <c r="L251" s="208"/>
      <c r="M251" s="208"/>
      <c r="N251" s="208"/>
      <c r="O251" s="208"/>
      <c r="P251" s="208"/>
      <c r="Q251" s="208"/>
      <c r="R251" s="208"/>
      <c r="S251" s="208"/>
      <c r="T251" s="208"/>
      <c r="U251" s="208"/>
      <c r="V251" s="208"/>
      <c r="W251" s="208"/>
      <c r="X251" s="208"/>
      <c r="Y251" s="208"/>
      <c r="Z251" s="208"/>
    </row>
    <row r="252" spans="1:26">
      <c r="A252" s="242"/>
      <c r="B252" s="242"/>
      <c r="C252" s="242"/>
      <c r="D252" s="242"/>
      <c r="E252" s="242"/>
      <c r="F252" s="242"/>
      <c r="G252" s="208"/>
      <c r="H252" s="208"/>
      <c r="I252" s="208"/>
      <c r="J252" s="208"/>
      <c r="K252" s="208"/>
      <c r="L252" s="208"/>
      <c r="M252" s="208"/>
      <c r="N252" s="208"/>
      <c r="O252" s="208"/>
      <c r="P252" s="208"/>
      <c r="Q252" s="208"/>
      <c r="R252" s="208"/>
      <c r="S252" s="208"/>
      <c r="T252" s="208"/>
      <c r="U252" s="208"/>
      <c r="V252" s="208"/>
      <c r="W252" s="208"/>
      <c r="X252" s="208"/>
      <c r="Y252" s="208"/>
      <c r="Z252" s="208"/>
    </row>
    <row r="253" spans="1:26">
      <c r="A253" s="242"/>
      <c r="B253" s="242"/>
      <c r="C253" s="242"/>
      <c r="D253" s="242"/>
      <c r="E253" s="242"/>
      <c r="F253" s="242"/>
      <c r="G253" s="208"/>
      <c r="H253" s="208"/>
      <c r="I253" s="208"/>
      <c r="J253" s="208"/>
      <c r="K253" s="208"/>
      <c r="L253" s="208"/>
      <c r="M253" s="208"/>
      <c r="N253" s="208"/>
      <c r="O253" s="208"/>
      <c r="P253" s="208"/>
      <c r="Q253" s="208"/>
      <c r="R253" s="208"/>
      <c r="S253" s="208"/>
      <c r="T253" s="208"/>
      <c r="U253" s="208"/>
      <c r="V253" s="208"/>
      <c r="W253" s="208"/>
      <c r="X253" s="208"/>
      <c r="Y253" s="208"/>
      <c r="Z253" s="208"/>
    </row>
    <row r="254" spans="1:26">
      <c r="A254" s="242"/>
      <c r="B254" s="242"/>
      <c r="C254" s="242"/>
      <c r="D254" s="242"/>
      <c r="E254" s="242"/>
      <c r="F254" s="242"/>
      <c r="G254" s="208"/>
      <c r="H254" s="208"/>
      <c r="I254" s="208"/>
      <c r="J254" s="208"/>
      <c r="K254" s="208"/>
      <c r="L254" s="208"/>
      <c r="M254" s="208"/>
      <c r="N254" s="208"/>
      <c r="O254" s="208"/>
      <c r="P254" s="208"/>
      <c r="Q254" s="208"/>
      <c r="R254" s="208"/>
      <c r="S254" s="208"/>
      <c r="T254" s="208"/>
      <c r="U254" s="208"/>
      <c r="V254" s="208"/>
      <c r="W254" s="208"/>
      <c r="X254" s="208"/>
      <c r="Y254" s="208"/>
      <c r="Z254" s="208"/>
    </row>
    <row r="255" spans="1:26">
      <c r="A255" s="242"/>
      <c r="B255" s="242"/>
      <c r="C255" s="242"/>
      <c r="D255" s="242"/>
      <c r="E255" s="242"/>
      <c r="F255" s="242"/>
      <c r="G255" s="208"/>
      <c r="H255" s="208"/>
      <c r="I255" s="208"/>
      <c r="J255" s="208"/>
      <c r="K255" s="208"/>
      <c r="L255" s="208"/>
      <c r="M255" s="208"/>
      <c r="N255" s="208"/>
      <c r="O255" s="208"/>
      <c r="P255" s="208"/>
      <c r="Q255" s="208"/>
      <c r="R255" s="208"/>
      <c r="S255" s="208"/>
      <c r="T255" s="208"/>
      <c r="U255" s="208"/>
      <c r="V255" s="208"/>
      <c r="W255" s="208"/>
      <c r="X255" s="208"/>
      <c r="Y255" s="208"/>
      <c r="Z255" s="208"/>
    </row>
    <row r="256" spans="1:26">
      <c r="A256" s="242"/>
      <c r="B256" s="242"/>
      <c r="C256" s="242"/>
      <c r="D256" s="242"/>
      <c r="E256" s="242"/>
      <c r="F256" s="242"/>
      <c r="G256" s="208"/>
      <c r="H256" s="208"/>
      <c r="I256" s="208"/>
      <c r="J256" s="208"/>
      <c r="K256" s="208"/>
      <c r="L256" s="208"/>
      <c r="M256" s="208"/>
      <c r="N256" s="208"/>
      <c r="O256" s="208"/>
      <c r="P256" s="208"/>
      <c r="Q256" s="208"/>
      <c r="R256" s="208"/>
      <c r="S256" s="208"/>
      <c r="T256" s="208"/>
      <c r="U256" s="208"/>
      <c r="V256" s="208"/>
      <c r="W256" s="208"/>
      <c r="X256" s="208"/>
      <c r="Y256" s="208"/>
      <c r="Z256" s="208"/>
    </row>
    <row r="257" spans="1:26">
      <c r="A257" s="242"/>
      <c r="B257" s="242"/>
      <c r="C257" s="242"/>
      <c r="D257" s="242"/>
      <c r="E257" s="242"/>
      <c r="F257" s="242"/>
      <c r="G257" s="208"/>
      <c r="H257" s="208"/>
      <c r="I257" s="208"/>
      <c r="J257" s="208"/>
      <c r="K257" s="208"/>
      <c r="L257" s="208"/>
      <c r="M257" s="208"/>
      <c r="N257" s="208"/>
      <c r="O257" s="208"/>
      <c r="P257" s="208"/>
      <c r="Q257" s="208"/>
      <c r="R257" s="208"/>
      <c r="S257" s="208"/>
      <c r="T257" s="208"/>
      <c r="U257" s="208"/>
      <c r="V257" s="208"/>
      <c r="W257" s="208"/>
      <c r="X257" s="208"/>
      <c r="Y257" s="208"/>
      <c r="Z257" s="208"/>
    </row>
    <row r="258" spans="1:26">
      <c r="A258" s="242"/>
      <c r="B258" s="242"/>
      <c r="C258" s="242"/>
      <c r="D258" s="242"/>
      <c r="E258" s="242"/>
      <c r="F258" s="242"/>
      <c r="G258" s="208"/>
      <c r="H258" s="208"/>
      <c r="I258" s="208"/>
      <c r="J258" s="208"/>
      <c r="K258" s="208"/>
      <c r="L258" s="208"/>
      <c r="M258" s="208"/>
      <c r="N258" s="208"/>
      <c r="O258" s="208"/>
      <c r="P258" s="208"/>
      <c r="Q258" s="208"/>
      <c r="R258" s="208"/>
      <c r="S258" s="208"/>
      <c r="T258" s="208"/>
      <c r="U258" s="208"/>
      <c r="V258" s="208"/>
      <c r="W258" s="208"/>
      <c r="X258" s="208"/>
      <c r="Y258" s="208"/>
      <c r="Z258" s="208"/>
    </row>
    <row r="259" spans="1:26">
      <c r="A259" s="242"/>
      <c r="B259" s="242"/>
      <c r="C259" s="242"/>
      <c r="D259" s="242"/>
      <c r="E259" s="242"/>
      <c r="F259" s="242"/>
      <c r="G259" s="208"/>
      <c r="H259" s="208"/>
      <c r="I259" s="208"/>
      <c r="J259" s="208"/>
      <c r="K259" s="208"/>
      <c r="L259" s="208"/>
      <c r="M259" s="208"/>
      <c r="N259" s="208"/>
      <c r="O259" s="208"/>
      <c r="P259" s="208"/>
      <c r="Q259" s="208"/>
      <c r="R259" s="208"/>
      <c r="S259" s="208"/>
      <c r="T259" s="208"/>
      <c r="U259" s="208"/>
      <c r="V259" s="208"/>
      <c r="W259" s="208"/>
      <c r="X259" s="208"/>
      <c r="Y259" s="208"/>
      <c r="Z259" s="208"/>
    </row>
    <row r="260" spans="1:26">
      <c r="A260" s="242"/>
      <c r="B260" s="242"/>
      <c r="C260" s="242"/>
      <c r="D260" s="242"/>
      <c r="E260" s="242"/>
      <c r="F260" s="242"/>
      <c r="G260" s="208"/>
      <c r="H260" s="208"/>
      <c r="I260" s="208"/>
      <c r="J260" s="208"/>
      <c r="K260" s="208"/>
      <c r="L260" s="208"/>
      <c r="M260" s="208"/>
      <c r="N260" s="208"/>
      <c r="O260" s="208"/>
      <c r="P260" s="208"/>
      <c r="Q260" s="208"/>
      <c r="R260" s="208"/>
      <c r="S260" s="208"/>
      <c r="T260" s="208"/>
      <c r="U260" s="208"/>
      <c r="V260" s="208"/>
      <c r="W260" s="208"/>
      <c r="X260" s="208"/>
      <c r="Y260" s="208"/>
      <c r="Z260" s="208"/>
    </row>
    <row r="261" spans="1:26">
      <c r="A261" s="242"/>
      <c r="B261" s="242"/>
      <c r="C261" s="242"/>
      <c r="D261" s="242"/>
      <c r="E261" s="242"/>
      <c r="F261" s="242"/>
      <c r="G261" s="208"/>
      <c r="H261" s="208"/>
      <c r="I261" s="208"/>
      <c r="J261" s="208"/>
      <c r="K261" s="208"/>
      <c r="L261" s="208"/>
      <c r="M261" s="208"/>
      <c r="N261" s="208"/>
      <c r="O261" s="208"/>
      <c r="P261" s="208"/>
      <c r="Q261" s="208"/>
      <c r="R261" s="208"/>
      <c r="S261" s="208"/>
      <c r="T261" s="208"/>
      <c r="U261" s="208"/>
      <c r="V261" s="208"/>
      <c r="W261" s="208"/>
      <c r="X261" s="208"/>
      <c r="Y261" s="208"/>
      <c r="Z261" s="208"/>
    </row>
    <row r="262" spans="1:26">
      <c r="A262" s="242"/>
      <c r="B262" s="242"/>
      <c r="C262" s="242"/>
      <c r="D262" s="242"/>
      <c r="E262" s="242"/>
      <c r="F262" s="242"/>
      <c r="G262" s="208"/>
      <c r="H262" s="208"/>
      <c r="I262" s="208"/>
      <c r="J262" s="208"/>
      <c r="K262" s="208"/>
      <c r="L262" s="208"/>
      <c r="M262" s="208"/>
      <c r="N262" s="208"/>
      <c r="O262" s="208"/>
      <c r="P262" s="208"/>
      <c r="Q262" s="208"/>
      <c r="R262" s="208"/>
      <c r="S262" s="208"/>
      <c r="T262" s="208"/>
      <c r="U262" s="208"/>
      <c r="V262" s="208"/>
      <c r="W262" s="208"/>
      <c r="X262" s="208"/>
      <c r="Y262" s="208"/>
      <c r="Z262" s="208"/>
    </row>
    <row r="263" spans="1:26">
      <c r="A263" s="242"/>
      <c r="B263" s="242"/>
      <c r="C263" s="242"/>
      <c r="D263" s="242"/>
      <c r="E263" s="242"/>
      <c r="F263" s="242"/>
      <c r="G263" s="208"/>
      <c r="H263" s="208"/>
      <c r="I263" s="208"/>
      <c r="J263" s="208"/>
      <c r="K263" s="208"/>
      <c r="L263" s="208"/>
      <c r="M263" s="208"/>
      <c r="N263" s="208"/>
      <c r="O263" s="208"/>
      <c r="P263" s="208"/>
      <c r="Q263" s="208"/>
      <c r="R263" s="208"/>
      <c r="S263" s="208"/>
      <c r="T263" s="208"/>
      <c r="U263" s="208"/>
      <c r="V263" s="208"/>
      <c r="W263" s="208"/>
      <c r="X263" s="208"/>
      <c r="Y263" s="208"/>
      <c r="Z263" s="208"/>
    </row>
    <row r="264" spans="1:26">
      <c r="A264" s="242"/>
      <c r="B264" s="242"/>
      <c r="C264" s="242"/>
      <c r="D264" s="242"/>
      <c r="E264" s="242"/>
      <c r="F264" s="242"/>
      <c r="G264" s="208"/>
      <c r="H264" s="208"/>
      <c r="I264" s="208"/>
      <c r="J264" s="208"/>
      <c r="K264" s="208"/>
      <c r="L264" s="208"/>
      <c r="M264" s="208"/>
      <c r="N264" s="208"/>
      <c r="O264" s="208"/>
      <c r="P264" s="208"/>
      <c r="Q264" s="208"/>
      <c r="R264" s="208"/>
      <c r="S264" s="208"/>
      <c r="T264" s="208"/>
      <c r="U264" s="208"/>
      <c r="V264" s="208"/>
      <c r="W264" s="208"/>
      <c r="X264" s="208"/>
      <c r="Y264" s="208"/>
      <c r="Z264" s="208"/>
    </row>
    <row r="265" spans="1:26">
      <c r="A265" s="242"/>
      <c r="B265" s="242"/>
      <c r="C265" s="242"/>
      <c r="D265" s="242"/>
      <c r="E265" s="242"/>
      <c r="F265" s="242"/>
      <c r="G265" s="208"/>
      <c r="H265" s="208"/>
      <c r="I265" s="208"/>
      <c r="J265" s="208"/>
      <c r="K265" s="208"/>
      <c r="L265" s="208"/>
      <c r="M265" s="208"/>
      <c r="N265" s="208"/>
      <c r="O265" s="208"/>
      <c r="P265" s="208"/>
      <c r="Q265" s="208"/>
      <c r="R265" s="208"/>
      <c r="S265" s="208"/>
      <c r="T265" s="208"/>
      <c r="U265" s="208"/>
      <c r="V265" s="208"/>
      <c r="W265" s="208"/>
      <c r="X265" s="208"/>
      <c r="Y265" s="208"/>
      <c r="Z265" s="208"/>
    </row>
    <row r="266" spans="1:26">
      <c r="A266" s="242"/>
      <c r="B266" s="242"/>
      <c r="C266" s="242"/>
      <c r="D266" s="242"/>
      <c r="E266" s="242"/>
      <c r="F266" s="242"/>
      <c r="G266" s="208"/>
      <c r="H266" s="208"/>
      <c r="I266" s="208"/>
      <c r="J266" s="208"/>
      <c r="K266" s="208"/>
      <c r="L266" s="208"/>
      <c r="M266" s="208"/>
      <c r="N266" s="208"/>
      <c r="O266" s="208"/>
      <c r="P266" s="208"/>
      <c r="Q266" s="208"/>
      <c r="R266" s="208"/>
      <c r="S266" s="208"/>
      <c r="T266" s="208"/>
      <c r="U266" s="208"/>
      <c r="V266" s="208"/>
      <c r="W266" s="208"/>
      <c r="X266" s="208"/>
      <c r="Y266" s="208"/>
      <c r="Z266" s="208"/>
    </row>
    <row r="267" spans="1:26">
      <c r="A267" s="242"/>
      <c r="B267" s="242"/>
      <c r="C267" s="242"/>
      <c r="D267" s="242"/>
      <c r="E267" s="242"/>
      <c r="F267" s="242"/>
      <c r="G267" s="208"/>
      <c r="H267" s="208"/>
      <c r="I267" s="208"/>
      <c r="J267" s="208"/>
      <c r="K267" s="208"/>
      <c r="L267" s="208"/>
      <c r="M267" s="208"/>
      <c r="N267" s="208"/>
      <c r="O267" s="208"/>
      <c r="P267" s="208"/>
      <c r="Q267" s="208"/>
      <c r="R267" s="208"/>
      <c r="S267" s="208"/>
      <c r="T267" s="208"/>
      <c r="U267" s="208"/>
      <c r="V267" s="208"/>
      <c r="W267" s="208"/>
      <c r="X267" s="208"/>
      <c r="Y267" s="208"/>
      <c r="Z267" s="208"/>
    </row>
    <row r="268" spans="1:26">
      <c r="A268" s="242"/>
      <c r="B268" s="242"/>
      <c r="C268" s="242"/>
      <c r="D268" s="242"/>
      <c r="E268" s="242"/>
      <c r="F268" s="242"/>
      <c r="G268" s="208"/>
      <c r="H268" s="208"/>
      <c r="I268" s="208"/>
      <c r="J268" s="208"/>
      <c r="K268" s="208"/>
      <c r="L268" s="208"/>
      <c r="M268" s="208"/>
      <c r="N268" s="208"/>
      <c r="O268" s="208"/>
      <c r="P268" s="208"/>
      <c r="Q268" s="208"/>
      <c r="R268" s="208"/>
      <c r="S268" s="208"/>
      <c r="T268" s="208"/>
      <c r="U268" s="208"/>
      <c r="V268" s="208"/>
      <c r="W268" s="208"/>
      <c r="X268" s="208"/>
      <c r="Y268" s="208"/>
      <c r="Z268" s="208"/>
    </row>
    <row r="269" spans="1:26">
      <c r="A269" s="242"/>
      <c r="B269" s="242"/>
      <c r="C269" s="242"/>
      <c r="D269" s="242"/>
      <c r="E269" s="242"/>
      <c r="F269" s="242"/>
      <c r="G269" s="208"/>
      <c r="H269" s="208"/>
      <c r="I269" s="208"/>
      <c r="J269" s="208"/>
      <c r="K269" s="208"/>
      <c r="L269" s="208"/>
      <c r="M269" s="208"/>
      <c r="N269" s="208"/>
      <c r="O269" s="208"/>
      <c r="P269" s="208"/>
      <c r="Q269" s="208"/>
      <c r="R269" s="208"/>
      <c r="S269" s="208"/>
      <c r="T269" s="208"/>
      <c r="U269" s="208"/>
      <c r="V269" s="208"/>
      <c r="W269" s="208"/>
      <c r="X269" s="208"/>
      <c r="Y269" s="208"/>
      <c r="Z269" s="208"/>
    </row>
    <row r="270" spans="1:26">
      <c r="A270" s="242"/>
      <c r="B270" s="242"/>
      <c r="C270" s="242"/>
      <c r="D270" s="242"/>
      <c r="E270" s="242"/>
      <c r="F270" s="242"/>
      <c r="G270" s="208"/>
      <c r="H270" s="208"/>
      <c r="I270" s="208"/>
      <c r="J270" s="208"/>
      <c r="K270" s="208"/>
      <c r="L270" s="208"/>
      <c r="M270" s="208"/>
      <c r="N270" s="208"/>
      <c r="O270" s="208"/>
      <c r="P270" s="208"/>
      <c r="Q270" s="208"/>
      <c r="R270" s="208"/>
      <c r="S270" s="208"/>
      <c r="T270" s="208"/>
      <c r="U270" s="208"/>
      <c r="V270" s="208"/>
      <c r="W270" s="208"/>
      <c r="X270" s="208"/>
      <c r="Y270" s="208"/>
      <c r="Z270" s="208"/>
    </row>
    <row r="271" spans="1:26">
      <c r="A271" s="242"/>
      <c r="B271" s="242"/>
      <c r="C271" s="242"/>
      <c r="D271" s="242"/>
      <c r="E271" s="242"/>
      <c r="F271" s="242"/>
      <c r="G271" s="208"/>
      <c r="H271" s="208"/>
      <c r="I271" s="208"/>
      <c r="J271" s="208"/>
      <c r="K271" s="208"/>
      <c r="L271" s="208"/>
      <c r="M271" s="208"/>
      <c r="N271" s="208"/>
      <c r="O271" s="208"/>
      <c r="P271" s="208"/>
      <c r="Q271" s="208"/>
      <c r="R271" s="208"/>
      <c r="S271" s="208"/>
      <c r="T271" s="208"/>
      <c r="U271" s="208"/>
      <c r="V271" s="208"/>
      <c r="W271" s="208"/>
      <c r="X271" s="208"/>
      <c r="Y271" s="208"/>
      <c r="Z271" s="208"/>
    </row>
    <row r="272" spans="1:26">
      <c r="A272" s="242"/>
      <c r="B272" s="242"/>
      <c r="C272" s="242"/>
      <c r="D272" s="242"/>
      <c r="E272" s="242"/>
      <c r="F272" s="242"/>
      <c r="G272" s="208"/>
      <c r="H272" s="208"/>
      <c r="I272" s="208"/>
      <c r="J272" s="208"/>
      <c r="K272" s="208"/>
      <c r="L272" s="208"/>
      <c r="M272" s="208"/>
      <c r="N272" s="208"/>
      <c r="O272" s="208"/>
      <c r="P272" s="208"/>
      <c r="Q272" s="208"/>
      <c r="R272" s="208"/>
      <c r="S272" s="208"/>
      <c r="T272" s="208"/>
      <c r="U272" s="208"/>
      <c r="V272" s="208"/>
      <c r="W272" s="208"/>
      <c r="X272" s="208"/>
      <c r="Y272" s="208"/>
      <c r="Z272" s="208"/>
    </row>
    <row r="273" spans="1:26">
      <c r="A273" s="242"/>
      <c r="B273" s="242"/>
      <c r="C273" s="242"/>
      <c r="D273" s="242"/>
      <c r="E273" s="242"/>
      <c r="F273" s="242"/>
      <c r="G273" s="208"/>
      <c r="H273" s="208"/>
      <c r="I273" s="208"/>
      <c r="J273" s="208"/>
      <c r="K273" s="208"/>
      <c r="L273" s="208"/>
      <c r="M273" s="208"/>
      <c r="N273" s="208"/>
      <c r="O273" s="208"/>
      <c r="P273" s="208"/>
      <c r="Q273" s="208"/>
      <c r="R273" s="208"/>
      <c r="S273" s="208"/>
      <c r="T273" s="208"/>
      <c r="U273" s="208"/>
      <c r="V273" s="208"/>
      <c r="W273" s="208"/>
      <c r="X273" s="208"/>
      <c r="Y273" s="208"/>
      <c r="Z273" s="208"/>
    </row>
    <row r="274" spans="1:26">
      <c r="A274" s="242"/>
      <c r="B274" s="242"/>
      <c r="C274" s="242"/>
      <c r="D274" s="242"/>
      <c r="E274" s="242"/>
      <c r="F274" s="242"/>
      <c r="G274" s="208"/>
      <c r="H274" s="208"/>
      <c r="I274" s="208"/>
      <c r="J274" s="208"/>
      <c r="K274" s="208"/>
      <c r="L274" s="208"/>
      <c r="M274" s="208"/>
      <c r="N274" s="208"/>
      <c r="O274" s="208"/>
      <c r="P274" s="208"/>
      <c r="Q274" s="208"/>
      <c r="R274" s="208"/>
      <c r="S274" s="208"/>
      <c r="T274" s="208"/>
      <c r="U274" s="208"/>
      <c r="V274" s="208"/>
      <c r="W274" s="208"/>
      <c r="X274" s="208"/>
      <c r="Y274" s="208"/>
      <c r="Z274" s="208"/>
    </row>
    <row r="275" spans="1:26">
      <c r="A275" s="242"/>
      <c r="B275" s="242"/>
      <c r="C275" s="242"/>
      <c r="D275" s="242"/>
      <c r="E275" s="242"/>
      <c r="F275" s="242"/>
      <c r="G275" s="208"/>
      <c r="H275" s="208"/>
      <c r="I275" s="208"/>
      <c r="J275" s="208"/>
      <c r="K275" s="208"/>
      <c r="L275" s="208"/>
      <c r="M275" s="208"/>
      <c r="N275" s="208"/>
      <c r="O275" s="208"/>
      <c r="P275" s="208"/>
      <c r="Q275" s="208"/>
      <c r="R275" s="208"/>
      <c r="S275" s="208"/>
      <c r="T275" s="208"/>
      <c r="U275" s="208"/>
      <c r="V275" s="208"/>
      <c r="W275" s="208"/>
      <c r="X275" s="208"/>
      <c r="Y275" s="85"/>
      <c r="Z275" s="85"/>
    </row>
    <row r="276" spans="1:26">
      <c r="A276" s="242"/>
      <c r="B276" s="242"/>
      <c r="C276" s="242"/>
      <c r="D276" s="242"/>
      <c r="E276" s="242"/>
      <c r="F276" s="242"/>
      <c r="G276" s="208"/>
      <c r="H276" s="208"/>
      <c r="I276" s="208"/>
      <c r="J276" s="208"/>
      <c r="K276" s="208"/>
      <c r="L276" s="208"/>
      <c r="M276" s="208"/>
      <c r="N276" s="208"/>
      <c r="O276" s="208"/>
      <c r="P276" s="208"/>
      <c r="Q276" s="208"/>
      <c r="R276" s="208"/>
      <c r="S276" s="208"/>
      <c r="T276" s="208"/>
      <c r="U276" s="208"/>
      <c r="V276" s="208"/>
      <c r="W276" s="208"/>
      <c r="X276" s="208"/>
      <c r="Y276" s="85"/>
      <c r="Z276" s="85"/>
    </row>
    <row r="277" spans="1:26">
      <c r="A277" s="242"/>
      <c r="B277" s="242"/>
      <c r="C277" s="242"/>
      <c r="D277" s="242"/>
      <c r="E277" s="242"/>
      <c r="F277" s="242"/>
      <c r="G277" s="208"/>
      <c r="H277" s="208"/>
      <c r="I277" s="208"/>
      <c r="J277" s="208"/>
      <c r="K277" s="208"/>
      <c r="L277" s="208"/>
      <c r="M277" s="208"/>
      <c r="N277" s="208"/>
      <c r="O277" s="208"/>
      <c r="P277" s="208"/>
      <c r="Q277" s="208"/>
      <c r="R277" s="208"/>
      <c r="S277" s="208"/>
      <c r="T277" s="208"/>
      <c r="U277" s="208"/>
      <c r="V277" s="208"/>
      <c r="W277" s="208"/>
      <c r="X277" s="208"/>
      <c r="Y277" s="85"/>
      <c r="Z277" s="85"/>
    </row>
    <row r="278" spans="1:26">
      <c r="A278" s="242"/>
      <c r="B278" s="242"/>
      <c r="C278" s="242"/>
      <c r="D278" s="242"/>
      <c r="E278" s="242"/>
      <c r="F278" s="242"/>
      <c r="G278" s="208"/>
      <c r="H278" s="208"/>
      <c r="I278" s="208"/>
      <c r="J278" s="208"/>
      <c r="K278" s="208"/>
      <c r="L278" s="208"/>
      <c r="M278" s="208"/>
      <c r="N278" s="208"/>
      <c r="O278" s="208"/>
      <c r="P278" s="208"/>
      <c r="Q278" s="208"/>
      <c r="R278" s="208"/>
      <c r="S278" s="208"/>
      <c r="T278" s="208"/>
      <c r="U278" s="208"/>
      <c r="V278" s="208"/>
      <c r="W278" s="208"/>
      <c r="X278" s="208"/>
      <c r="Y278" s="85"/>
      <c r="Z278" s="85"/>
    </row>
    <row r="279" spans="1:26">
      <c r="A279" s="242"/>
      <c r="B279" s="242"/>
      <c r="C279" s="242"/>
      <c r="D279" s="242"/>
      <c r="E279" s="242"/>
      <c r="F279" s="242"/>
      <c r="G279" s="208"/>
      <c r="H279" s="208"/>
      <c r="I279" s="208"/>
      <c r="J279" s="208"/>
      <c r="K279" s="208"/>
      <c r="L279" s="208"/>
      <c r="M279" s="208"/>
      <c r="N279" s="208"/>
      <c r="O279" s="208"/>
      <c r="P279" s="208"/>
      <c r="Q279" s="208"/>
      <c r="R279" s="208"/>
      <c r="S279" s="208"/>
      <c r="T279" s="208"/>
      <c r="U279" s="208"/>
      <c r="V279" s="208"/>
      <c r="W279" s="208"/>
      <c r="X279" s="208"/>
      <c r="Y279" s="85"/>
      <c r="Z279" s="85"/>
    </row>
    <row r="280" spans="1:26">
      <c r="A280" s="242"/>
      <c r="B280" s="242"/>
      <c r="C280" s="242"/>
      <c r="D280" s="242"/>
      <c r="E280" s="242"/>
      <c r="F280" s="242"/>
      <c r="G280" s="208"/>
      <c r="H280" s="208"/>
      <c r="I280" s="208"/>
      <c r="J280" s="208"/>
      <c r="K280" s="208"/>
      <c r="L280" s="208"/>
      <c r="M280" s="208"/>
      <c r="N280" s="208"/>
      <c r="O280" s="208"/>
      <c r="P280" s="208"/>
      <c r="Q280" s="208"/>
      <c r="R280" s="208"/>
      <c r="S280" s="208"/>
      <c r="T280" s="208"/>
      <c r="U280" s="208"/>
      <c r="V280" s="208"/>
      <c r="W280" s="208"/>
      <c r="X280" s="208"/>
      <c r="Y280" s="85"/>
      <c r="Z280" s="85"/>
    </row>
    <row r="281" spans="1:26">
      <c r="A281" s="242"/>
      <c r="B281" s="242"/>
      <c r="C281" s="242"/>
      <c r="D281" s="242"/>
      <c r="E281" s="242"/>
      <c r="F281" s="242"/>
      <c r="G281" s="208"/>
      <c r="H281" s="208"/>
      <c r="I281" s="208"/>
      <c r="J281" s="208"/>
      <c r="K281" s="208"/>
      <c r="L281" s="208"/>
      <c r="M281" s="208"/>
      <c r="N281" s="208"/>
      <c r="O281" s="208"/>
      <c r="P281" s="208"/>
      <c r="Q281" s="208"/>
      <c r="R281" s="208"/>
      <c r="S281" s="208"/>
      <c r="T281" s="208"/>
      <c r="U281" s="208"/>
      <c r="V281" s="208"/>
      <c r="W281" s="208"/>
      <c r="X281" s="208"/>
      <c r="Y281" s="85"/>
      <c r="Z281" s="85"/>
    </row>
    <row r="282" spans="1:26">
      <c r="A282" s="242"/>
      <c r="B282" s="242"/>
      <c r="C282" s="242"/>
      <c r="D282" s="242"/>
      <c r="E282" s="242"/>
      <c r="F282" s="242"/>
      <c r="G282" s="208"/>
      <c r="H282" s="208"/>
      <c r="I282" s="208"/>
      <c r="J282" s="208"/>
      <c r="K282" s="208"/>
      <c r="L282" s="208"/>
      <c r="M282" s="208"/>
      <c r="N282" s="208"/>
      <c r="O282" s="208"/>
      <c r="P282" s="208"/>
      <c r="Q282" s="208"/>
      <c r="R282" s="208"/>
      <c r="S282" s="208"/>
      <c r="T282" s="208"/>
      <c r="U282" s="208"/>
      <c r="V282" s="208"/>
      <c r="W282" s="208"/>
      <c r="X282" s="208"/>
      <c r="Y282" s="85"/>
      <c r="Z282" s="85"/>
    </row>
    <row r="283" spans="1:26">
      <c r="A283" s="242"/>
      <c r="B283" s="242"/>
      <c r="C283" s="242"/>
      <c r="D283" s="242"/>
      <c r="E283" s="242"/>
      <c r="F283" s="242"/>
      <c r="G283" s="208"/>
      <c r="H283" s="208"/>
      <c r="I283" s="208"/>
      <c r="J283" s="208"/>
      <c r="K283" s="208"/>
      <c r="L283" s="208"/>
      <c r="M283" s="208"/>
      <c r="N283" s="208"/>
      <c r="O283" s="208"/>
      <c r="P283" s="208"/>
      <c r="Q283" s="208"/>
      <c r="R283" s="208"/>
      <c r="S283" s="208"/>
      <c r="T283" s="208"/>
      <c r="U283" s="208"/>
      <c r="V283" s="208"/>
      <c r="W283" s="208"/>
      <c r="X283" s="208"/>
      <c r="Y283" s="85"/>
      <c r="Z283" s="85"/>
    </row>
    <row r="284" spans="1:26">
      <c r="A284" s="242"/>
      <c r="B284" s="242"/>
      <c r="C284" s="242"/>
      <c r="D284" s="242"/>
      <c r="E284" s="242"/>
      <c r="F284" s="242"/>
      <c r="G284" s="208"/>
      <c r="H284" s="208"/>
      <c r="I284" s="208"/>
      <c r="J284" s="208"/>
      <c r="K284" s="208"/>
      <c r="L284" s="208"/>
      <c r="M284" s="208"/>
      <c r="N284" s="208"/>
      <c r="O284" s="208"/>
      <c r="P284" s="208"/>
      <c r="Q284" s="208"/>
      <c r="R284" s="208"/>
      <c r="S284" s="208"/>
      <c r="T284" s="208"/>
      <c r="U284" s="208"/>
      <c r="V284" s="208"/>
      <c r="W284" s="208"/>
      <c r="X284" s="208"/>
      <c r="Y284" s="208"/>
      <c r="Z284" s="208"/>
    </row>
    <row r="285" spans="1:26">
      <c r="A285" s="242"/>
      <c r="B285" s="242"/>
      <c r="C285" s="242"/>
      <c r="D285" s="242"/>
      <c r="E285" s="242"/>
      <c r="F285" s="242"/>
      <c r="G285" s="208"/>
      <c r="H285" s="208"/>
      <c r="I285" s="208"/>
      <c r="J285" s="208"/>
      <c r="K285" s="208"/>
      <c r="L285" s="208"/>
      <c r="M285" s="208"/>
      <c r="N285" s="208"/>
      <c r="O285" s="208"/>
      <c r="P285" s="208"/>
      <c r="Q285" s="208"/>
      <c r="R285" s="208"/>
      <c r="S285" s="208"/>
      <c r="T285" s="208"/>
      <c r="U285" s="208"/>
      <c r="V285" s="208"/>
      <c r="W285" s="208"/>
      <c r="X285" s="208"/>
      <c r="Y285" s="208"/>
      <c r="Z285" s="208"/>
    </row>
    <row r="286" spans="1:26">
      <c r="A286" s="242"/>
      <c r="B286" s="242"/>
      <c r="C286" s="242"/>
      <c r="D286" s="242"/>
      <c r="E286" s="242"/>
      <c r="F286" s="242"/>
      <c r="G286" s="208"/>
      <c r="H286" s="208"/>
      <c r="I286" s="208"/>
      <c r="J286" s="208"/>
      <c r="K286" s="208"/>
      <c r="L286" s="208"/>
      <c r="M286" s="208"/>
      <c r="N286" s="208"/>
      <c r="O286" s="208"/>
      <c r="P286" s="208"/>
      <c r="Q286" s="208"/>
      <c r="R286" s="208"/>
      <c r="S286" s="208"/>
      <c r="T286" s="208"/>
      <c r="U286" s="208"/>
      <c r="V286" s="208"/>
      <c r="W286" s="208"/>
      <c r="X286" s="208"/>
      <c r="Y286" s="208"/>
      <c r="Z286" s="208"/>
    </row>
    <row r="287" spans="1:26" s="127" customFormat="1">
      <c r="A287" s="242"/>
      <c r="B287" s="242"/>
      <c r="C287" s="242"/>
      <c r="D287" s="242"/>
      <c r="E287" s="242"/>
      <c r="F287" s="242"/>
      <c r="G287" s="208"/>
      <c r="H287" s="208"/>
      <c r="I287" s="208"/>
      <c r="J287" s="208"/>
      <c r="K287" s="208"/>
      <c r="L287" s="208"/>
      <c r="M287" s="208"/>
      <c r="N287" s="208"/>
      <c r="O287" s="208"/>
      <c r="P287" s="208"/>
      <c r="Q287" s="208"/>
      <c r="R287" s="208"/>
      <c r="S287" s="208"/>
      <c r="T287" s="208"/>
      <c r="U287" s="208"/>
      <c r="V287" s="208"/>
      <c r="W287" s="208"/>
      <c r="X287" s="208"/>
      <c r="Y287" s="208"/>
      <c r="Z287" s="208"/>
    </row>
    <row r="288" spans="1:26">
      <c r="A288" s="242"/>
      <c r="B288" s="242"/>
      <c r="C288" s="242"/>
      <c r="D288" s="242"/>
      <c r="E288" s="242"/>
      <c r="F288" s="242"/>
      <c r="G288" s="208"/>
      <c r="H288" s="208"/>
      <c r="I288" s="208"/>
      <c r="J288" s="208"/>
      <c r="K288" s="208"/>
      <c r="L288" s="208"/>
      <c r="M288" s="208"/>
      <c r="N288" s="208"/>
      <c r="O288" s="208"/>
      <c r="P288" s="208"/>
      <c r="Q288" s="208"/>
      <c r="R288" s="208"/>
      <c r="S288" s="208"/>
      <c r="T288" s="208"/>
      <c r="U288" s="208"/>
      <c r="V288" s="208"/>
      <c r="W288" s="208"/>
      <c r="X288" s="208"/>
      <c r="Y288" s="208"/>
      <c r="Z288" s="208"/>
    </row>
    <row r="289" spans="1:26" s="128" customFormat="1">
      <c r="A289" s="242"/>
      <c r="B289" s="242"/>
      <c r="C289" s="242"/>
      <c r="D289" s="242"/>
      <c r="E289" s="242"/>
      <c r="F289" s="242"/>
      <c r="G289" s="208"/>
      <c r="H289" s="208"/>
      <c r="I289" s="208"/>
      <c r="J289" s="208"/>
      <c r="K289" s="208"/>
      <c r="L289" s="208"/>
      <c r="M289" s="208"/>
      <c r="N289" s="208"/>
      <c r="O289" s="208"/>
      <c r="P289" s="208"/>
      <c r="Q289" s="208"/>
      <c r="R289" s="208"/>
      <c r="S289" s="208"/>
      <c r="T289" s="208"/>
      <c r="U289" s="208"/>
      <c r="V289" s="208"/>
      <c r="W289" s="208"/>
      <c r="X289" s="208"/>
      <c r="Y289" s="208"/>
      <c r="Z289" s="208"/>
    </row>
    <row r="290" spans="1:26" s="128" customFormat="1">
      <c r="A290" s="242"/>
      <c r="B290" s="242"/>
      <c r="C290" s="242"/>
      <c r="D290" s="242"/>
      <c r="E290" s="242"/>
      <c r="F290" s="242"/>
      <c r="G290" s="208"/>
      <c r="H290" s="208"/>
      <c r="I290" s="208"/>
      <c r="J290" s="208"/>
      <c r="K290" s="208"/>
      <c r="L290" s="208"/>
      <c r="M290" s="208"/>
      <c r="N290" s="208"/>
      <c r="O290" s="208"/>
      <c r="P290" s="208"/>
      <c r="Q290" s="208"/>
      <c r="R290" s="208"/>
      <c r="S290" s="208"/>
      <c r="T290" s="208"/>
      <c r="U290" s="208"/>
      <c r="V290" s="208"/>
      <c r="W290" s="208"/>
      <c r="X290" s="208"/>
      <c r="Y290" s="208"/>
      <c r="Z290" s="208"/>
    </row>
    <row r="291" spans="1:26">
      <c r="A291" s="242"/>
      <c r="B291" s="242"/>
      <c r="C291" s="242"/>
      <c r="D291" s="242"/>
      <c r="E291" s="242"/>
      <c r="F291" s="242"/>
      <c r="G291" s="208"/>
      <c r="H291" s="208"/>
      <c r="I291" s="208"/>
      <c r="J291" s="208"/>
      <c r="K291" s="208"/>
      <c r="L291" s="208"/>
      <c r="M291" s="208"/>
      <c r="N291" s="208"/>
      <c r="O291" s="208"/>
      <c r="P291" s="208"/>
      <c r="Q291" s="208"/>
      <c r="R291" s="208"/>
      <c r="S291" s="208"/>
      <c r="T291" s="208"/>
      <c r="U291" s="208"/>
      <c r="V291" s="208"/>
      <c r="W291" s="208"/>
      <c r="X291" s="208"/>
      <c r="Y291" s="208"/>
      <c r="Z291" s="208"/>
    </row>
    <row r="292" spans="1:26">
      <c r="A292" s="242"/>
      <c r="B292" s="242"/>
      <c r="C292" s="242"/>
      <c r="D292" s="242"/>
      <c r="E292" s="242"/>
      <c r="F292" s="242"/>
      <c r="G292" s="208"/>
      <c r="H292" s="208"/>
      <c r="I292" s="208"/>
      <c r="J292" s="208"/>
      <c r="K292" s="208"/>
      <c r="L292" s="208"/>
      <c r="M292" s="208"/>
      <c r="N292" s="208"/>
      <c r="O292" s="208"/>
      <c r="P292" s="208"/>
      <c r="Q292" s="208"/>
      <c r="R292" s="208"/>
      <c r="S292" s="208"/>
      <c r="T292" s="208"/>
      <c r="U292" s="208"/>
      <c r="V292" s="208"/>
      <c r="W292" s="208"/>
      <c r="X292" s="208"/>
      <c r="Y292" s="208"/>
      <c r="Z292" s="208"/>
    </row>
    <row r="293" spans="1:26">
      <c r="A293" s="242"/>
      <c r="B293" s="242"/>
      <c r="C293" s="242"/>
      <c r="D293" s="242"/>
      <c r="E293" s="242"/>
      <c r="F293" s="242"/>
      <c r="G293" s="208"/>
      <c r="H293" s="208"/>
      <c r="I293" s="208"/>
      <c r="J293" s="208"/>
      <c r="K293" s="208"/>
      <c r="L293" s="208"/>
      <c r="M293" s="208"/>
      <c r="N293" s="208"/>
      <c r="O293" s="208"/>
      <c r="P293" s="208"/>
      <c r="Q293" s="208"/>
      <c r="R293" s="208"/>
      <c r="S293" s="208"/>
      <c r="T293" s="208"/>
      <c r="U293" s="208"/>
      <c r="V293" s="208"/>
      <c r="W293" s="208"/>
      <c r="X293" s="208"/>
      <c r="Y293" s="208"/>
      <c r="Z293" s="208"/>
    </row>
    <row r="294" spans="1:26">
      <c r="A294" s="242"/>
      <c r="B294" s="242"/>
      <c r="C294" s="242"/>
      <c r="D294" s="242"/>
      <c r="E294" s="242"/>
      <c r="F294" s="242"/>
      <c r="G294" s="208"/>
      <c r="H294" s="208"/>
      <c r="I294" s="208"/>
      <c r="J294" s="208"/>
      <c r="K294" s="208"/>
      <c r="L294" s="208"/>
      <c r="M294" s="208"/>
      <c r="N294" s="208"/>
      <c r="O294" s="208"/>
      <c r="P294" s="208"/>
      <c r="Q294" s="208"/>
      <c r="R294" s="208"/>
      <c r="S294" s="208"/>
      <c r="T294" s="208"/>
      <c r="U294" s="208"/>
      <c r="V294" s="208"/>
      <c r="W294" s="208"/>
      <c r="X294" s="208"/>
      <c r="Y294" s="208"/>
      <c r="Z294" s="208"/>
    </row>
    <row r="295" spans="1:26">
      <c r="A295" s="242"/>
      <c r="B295" s="242"/>
      <c r="C295" s="242"/>
      <c r="D295" s="242"/>
      <c r="E295" s="242"/>
      <c r="F295" s="242"/>
      <c r="G295" s="208"/>
      <c r="H295" s="208"/>
      <c r="I295" s="208"/>
      <c r="J295" s="208"/>
      <c r="K295" s="208"/>
      <c r="L295" s="208"/>
      <c r="M295" s="208"/>
      <c r="N295" s="208"/>
      <c r="O295" s="208"/>
      <c r="P295" s="208"/>
      <c r="Q295" s="208"/>
      <c r="R295" s="208"/>
      <c r="S295" s="208"/>
      <c r="T295" s="208"/>
      <c r="U295" s="208"/>
      <c r="V295" s="208"/>
      <c r="W295" s="208"/>
      <c r="X295" s="208"/>
      <c r="Y295" s="208"/>
      <c r="Z295" s="208"/>
    </row>
    <row r="296" spans="1:26">
      <c r="A296" s="242"/>
      <c r="B296" s="242"/>
      <c r="C296" s="242"/>
      <c r="D296" s="242"/>
      <c r="E296" s="242"/>
      <c r="F296" s="242"/>
      <c r="G296" s="208"/>
      <c r="H296" s="208"/>
      <c r="I296" s="208"/>
      <c r="J296" s="208"/>
      <c r="K296" s="208"/>
      <c r="L296" s="208"/>
      <c r="M296" s="208"/>
      <c r="N296" s="208"/>
      <c r="O296" s="208"/>
      <c r="P296" s="208"/>
      <c r="Q296" s="208"/>
      <c r="R296" s="208"/>
      <c r="S296" s="208"/>
      <c r="T296" s="208"/>
      <c r="U296" s="208"/>
      <c r="V296" s="208"/>
      <c r="W296" s="208"/>
      <c r="X296" s="208"/>
      <c r="Y296" s="208"/>
      <c r="Z296" s="208"/>
    </row>
    <row r="297" spans="1:26">
      <c r="A297" s="242"/>
      <c r="B297" s="242"/>
      <c r="C297" s="242"/>
      <c r="D297" s="242"/>
      <c r="E297" s="242"/>
      <c r="F297" s="242"/>
      <c r="G297" s="208"/>
      <c r="H297" s="208"/>
      <c r="I297" s="208"/>
      <c r="J297" s="208"/>
      <c r="K297" s="208"/>
      <c r="L297" s="208"/>
      <c r="M297" s="208"/>
      <c r="N297" s="208"/>
      <c r="O297" s="208"/>
      <c r="P297" s="208"/>
      <c r="Q297" s="208"/>
      <c r="R297" s="208"/>
      <c r="S297" s="208"/>
      <c r="T297" s="208"/>
      <c r="U297" s="208"/>
      <c r="V297" s="208"/>
      <c r="W297" s="208"/>
      <c r="X297" s="208"/>
      <c r="Y297" s="208"/>
      <c r="Z297" s="208"/>
    </row>
    <row r="298" spans="1:26">
      <c r="A298" s="242"/>
      <c r="B298" s="242"/>
      <c r="C298" s="242"/>
      <c r="D298" s="242"/>
      <c r="E298" s="242"/>
      <c r="F298" s="242"/>
      <c r="G298" s="208"/>
      <c r="H298" s="208"/>
      <c r="I298" s="208"/>
      <c r="J298" s="208"/>
      <c r="K298" s="208"/>
      <c r="L298" s="208"/>
      <c r="M298" s="208"/>
      <c r="N298" s="208"/>
      <c r="O298" s="208"/>
      <c r="P298" s="208"/>
      <c r="Q298" s="208"/>
      <c r="R298" s="208"/>
      <c r="S298" s="208"/>
      <c r="T298" s="208"/>
      <c r="U298" s="208"/>
      <c r="V298" s="208"/>
      <c r="W298" s="208"/>
      <c r="X298" s="208"/>
      <c r="Y298" s="208"/>
      <c r="Z298" s="208"/>
    </row>
    <row r="299" spans="1:26">
      <c r="A299" s="242"/>
      <c r="B299" s="242"/>
      <c r="C299" s="242"/>
      <c r="D299" s="242"/>
      <c r="E299" s="242"/>
      <c r="F299" s="242"/>
      <c r="G299" s="208"/>
      <c r="H299" s="208"/>
      <c r="I299" s="208"/>
      <c r="J299" s="208"/>
      <c r="K299" s="208"/>
      <c r="L299" s="208"/>
      <c r="M299" s="208"/>
      <c r="N299" s="208"/>
      <c r="O299" s="208"/>
      <c r="P299" s="208"/>
      <c r="Q299" s="208"/>
      <c r="R299" s="208"/>
      <c r="S299" s="208"/>
      <c r="T299" s="208"/>
      <c r="U299" s="208"/>
      <c r="V299" s="208"/>
      <c r="W299" s="208"/>
      <c r="X299" s="208"/>
      <c r="Y299" s="208"/>
      <c r="Z299" s="208"/>
    </row>
    <row r="300" spans="1:26">
      <c r="A300" s="242"/>
      <c r="B300" s="242"/>
      <c r="C300" s="242"/>
      <c r="D300" s="242"/>
      <c r="E300" s="242"/>
      <c r="F300" s="242"/>
      <c r="G300" s="208"/>
      <c r="H300" s="208"/>
      <c r="I300" s="208"/>
      <c r="J300" s="208"/>
      <c r="K300" s="208"/>
      <c r="L300" s="208"/>
      <c r="M300" s="208"/>
      <c r="N300" s="208"/>
      <c r="O300" s="208"/>
      <c r="P300" s="208"/>
      <c r="Q300" s="208"/>
      <c r="R300" s="208"/>
      <c r="S300" s="208"/>
      <c r="T300" s="208"/>
      <c r="U300" s="208"/>
      <c r="V300" s="208"/>
      <c r="W300" s="208"/>
      <c r="X300" s="208"/>
      <c r="Y300" s="208"/>
      <c r="Z300" s="208"/>
    </row>
    <row r="301" spans="1:26">
      <c r="A301" s="242"/>
      <c r="B301" s="242"/>
      <c r="C301" s="242"/>
      <c r="D301" s="242"/>
      <c r="E301" s="242"/>
      <c r="F301" s="242"/>
      <c r="G301" s="208"/>
      <c r="H301" s="208"/>
      <c r="I301" s="208"/>
      <c r="J301" s="208"/>
      <c r="K301" s="208"/>
      <c r="L301" s="208"/>
      <c r="M301" s="208"/>
      <c r="N301" s="208"/>
      <c r="O301" s="208"/>
      <c r="P301" s="208"/>
      <c r="Q301" s="208"/>
      <c r="R301" s="208"/>
      <c r="S301" s="208"/>
      <c r="T301" s="208"/>
      <c r="U301" s="208"/>
      <c r="V301" s="208"/>
      <c r="W301" s="208"/>
      <c r="X301" s="208"/>
      <c r="Y301" s="208"/>
      <c r="Z301" s="208"/>
    </row>
    <row r="302" spans="1:26">
      <c r="A302" s="242"/>
      <c r="B302" s="242"/>
      <c r="C302" s="242"/>
      <c r="D302" s="242"/>
      <c r="E302" s="242"/>
      <c r="F302" s="242"/>
      <c r="G302" s="208"/>
      <c r="H302" s="208"/>
      <c r="I302" s="208"/>
      <c r="J302" s="208"/>
      <c r="K302" s="208"/>
      <c r="L302" s="208"/>
      <c r="M302" s="208"/>
      <c r="N302" s="208"/>
      <c r="O302" s="208"/>
      <c r="P302" s="208"/>
      <c r="Q302" s="208"/>
      <c r="R302" s="208"/>
      <c r="S302" s="208"/>
      <c r="T302" s="208"/>
      <c r="U302" s="208"/>
      <c r="V302" s="208"/>
      <c r="W302" s="208"/>
      <c r="X302" s="208"/>
      <c r="Y302" s="208"/>
      <c r="Z302" s="208"/>
    </row>
    <row r="303" spans="1:26">
      <c r="A303" s="242"/>
      <c r="B303" s="242"/>
      <c r="C303" s="242"/>
      <c r="D303" s="242"/>
      <c r="E303" s="242"/>
      <c r="F303" s="242"/>
      <c r="G303" s="208"/>
      <c r="H303" s="208"/>
      <c r="I303" s="208"/>
      <c r="J303" s="208"/>
      <c r="K303" s="208"/>
      <c r="L303" s="208"/>
      <c r="M303" s="208"/>
      <c r="N303" s="208"/>
      <c r="O303" s="208"/>
      <c r="P303" s="208"/>
      <c r="Q303" s="208"/>
      <c r="R303" s="208"/>
      <c r="S303" s="208"/>
      <c r="T303" s="208"/>
      <c r="U303" s="208"/>
      <c r="V303" s="208"/>
      <c r="W303" s="208"/>
      <c r="X303" s="208"/>
      <c r="Y303" s="208"/>
      <c r="Z303" s="208"/>
    </row>
    <row r="304" spans="1:26">
      <c r="A304" s="242"/>
      <c r="B304" s="242"/>
      <c r="C304" s="242"/>
      <c r="D304" s="242"/>
      <c r="E304" s="242"/>
      <c r="F304" s="242"/>
      <c r="G304" s="208"/>
      <c r="H304" s="208"/>
      <c r="I304" s="208"/>
      <c r="J304" s="208"/>
      <c r="K304" s="208"/>
      <c r="L304" s="208"/>
      <c r="M304" s="208"/>
      <c r="N304" s="208"/>
      <c r="O304" s="208"/>
      <c r="P304" s="208"/>
      <c r="Q304" s="208"/>
      <c r="R304" s="208"/>
      <c r="S304" s="208"/>
      <c r="T304" s="208"/>
      <c r="U304" s="208"/>
      <c r="V304" s="208"/>
      <c r="W304" s="208"/>
      <c r="X304" s="208"/>
      <c r="Y304" s="208"/>
      <c r="Z304" s="208"/>
    </row>
    <row r="305" spans="1:26">
      <c r="A305" s="242"/>
      <c r="B305" s="242"/>
      <c r="C305" s="242"/>
      <c r="D305" s="242"/>
      <c r="E305" s="242"/>
      <c r="F305" s="242"/>
      <c r="G305" s="208"/>
      <c r="H305" s="208"/>
      <c r="I305" s="208"/>
      <c r="J305" s="208"/>
      <c r="K305" s="208"/>
      <c r="L305" s="208"/>
      <c r="M305" s="208"/>
      <c r="N305" s="208"/>
      <c r="O305" s="208"/>
      <c r="P305" s="208"/>
      <c r="Q305" s="208"/>
      <c r="R305" s="208"/>
      <c r="S305" s="208"/>
      <c r="T305" s="208"/>
      <c r="U305" s="208"/>
      <c r="V305" s="208"/>
      <c r="W305" s="208"/>
      <c r="X305" s="208"/>
      <c r="Y305" s="208"/>
      <c r="Z305" s="208"/>
    </row>
    <row r="306" spans="1:26">
      <c r="A306" s="242"/>
      <c r="B306" s="242"/>
      <c r="C306" s="242"/>
      <c r="D306" s="242"/>
      <c r="E306" s="242"/>
      <c r="F306" s="242"/>
      <c r="G306" s="208"/>
      <c r="H306" s="208"/>
      <c r="I306" s="208"/>
      <c r="J306" s="208"/>
      <c r="K306" s="208"/>
      <c r="L306" s="208"/>
      <c r="M306" s="208"/>
      <c r="N306" s="208"/>
      <c r="O306" s="208"/>
      <c r="P306" s="208"/>
      <c r="Q306" s="208"/>
      <c r="R306" s="208"/>
      <c r="S306" s="208"/>
      <c r="T306" s="208"/>
      <c r="U306" s="208"/>
      <c r="V306" s="208"/>
      <c r="W306" s="208"/>
      <c r="X306" s="208"/>
      <c r="Y306" s="208"/>
      <c r="Z306" s="208"/>
    </row>
    <row r="307" spans="1:26">
      <c r="A307" s="242"/>
      <c r="B307" s="242"/>
      <c r="C307" s="242"/>
      <c r="D307" s="242"/>
      <c r="E307" s="242"/>
      <c r="F307" s="242"/>
      <c r="G307" s="208"/>
      <c r="H307" s="208"/>
      <c r="I307" s="208"/>
      <c r="J307" s="208"/>
      <c r="K307" s="208"/>
      <c r="L307" s="208"/>
      <c r="M307" s="208"/>
      <c r="N307" s="208"/>
      <c r="O307" s="208"/>
      <c r="P307" s="208"/>
      <c r="Q307" s="208"/>
      <c r="R307" s="208"/>
      <c r="S307" s="208"/>
      <c r="T307" s="208"/>
      <c r="U307" s="208"/>
      <c r="V307" s="208"/>
      <c r="W307" s="208"/>
      <c r="X307" s="208"/>
      <c r="Y307" s="208"/>
      <c r="Z307" s="208"/>
    </row>
    <row r="308" spans="1:26">
      <c r="A308" s="242"/>
      <c r="B308" s="242"/>
      <c r="C308" s="242"/>
      <c r="D308" s="242"/>
      <c r="E308" s="242"/>
      <c r="F308" s="242"/>
      <c r="G308" s="208"/>
      <c r="H308" s="208"/>
      <c r="I308" s="208"/>
      <c r="J308" s="208"/>
      <c r="K308" s="208"/>
      <c r="L308" s="208"/>
      <c r="M308" s="208"/>
      <c r="N308" s="208"/>
      <c r="O308" s="208"/>
      <c r="P308" s="208"/>
      <c r="Q308" s="208"/>
      <c r="R308" s="208"/>
      <c r="S308" s="208"/>
      <c r="T308" s="208"/>
      <c r="U308" s="208"/>
      <c r="V308" s="208"/>
      <c r="W308" s="208"/>
      <c r="X308" s="208"/>
      <c r="Y308" s="208"/>
      <c r="Z308" s="208"/>
    </row>
    <row r="309" spans="1:26">
      <c r="A309" s="242"/>
      <c r="B309" s="242"/>
      <c r="C309" s="242"/>
      <c r="D309" s="242"/>
      <c r="E309" s="242"/>
      <c r="F309" s="242"/>
      <c r="G309" s="208"/>
      <c r="H309" s="208"/>
      <c r="I309" s="208"/>
      <c r="J309" s="208"/>
      <c r="K309" s="208"/>
      <c r="L309" s="208"/>
      <c r="M309" s="208"/>
      <c r="N309" s="208"/>
      <c r="O309" s="208"/>
      <c r="P309" s="208"/>
      <c r="Q309" s="208"/>
      <c r="R309" s="208"/>
      <c r="S309" s="208"/>
      <c r="T309" s="208"/>
      <c r="U309" s="208"/>
      <c r="V309" s="208"/>
      <c r="W309" s="208"/>
      <c r="X309" s="208"/>
      <c r="Y309" s="208"/>
      <c r="Z309" s="208"/>
    </row>
    <row r="310" spans="1:26">
      <c r="A310" s="242"/>
      <c r="B310" s="242"/>
      <c r="C310" s="242"/>
      <c r="D310" s="242"/>
      <c r="E310" s="242"/>
      <c r="F310" s="242"/>
      <c r="G310" s="208"/>
      <c r="H310" s="208"/>
      <c r="I310" s="208"/>
      <c r="J310" s="208"/>
      <c r="K310" s="208"/>
      <c r="L310" s="208"/>
      <c r="M310" s="208"/>
      <c r="N310" s="208"/>
      <c r="O310" s="208"/>
      <c r="P310" s="208"/>
      <c r="Q310" s="208"/>
      <c r="R310" s="208"/>
      <c r="S310" s="208"/>
      <c r="T310" s="208"/>
      <c r="U310" s="208"/>
      <c r="V310" s="208"/>
      <c r="W310" s="208"/>
      <c r="X310" s="208"/>
      <c r="Y310" s="208"/>
      <c r="Z310" s="208"/>
    </row>
    <row r="311" spans="1:26">
      <c r="A311" s="242"/>
      <c r="B311" s="242"/>
      <c r="C311" s="242"/>
      <c r="D311" s="242"/>
      <c r="E311" s="242"/>
      <c r="F311" s="242"/>
      <c r="G311" s="208"/>
      <c r="H311" s="208"/>
      <c r="I311" s="208"/>
      <c r="J311" s="208"/>
      <c r="K311" s="208"/>
      <c r="L311" s="208"/>
      <c r="M311" s="208"/>
      <c r="N311" s="208"/>
      <c r="O311" s="208"/>
      <c r="P311" s="208"/>
      <c r="Q311" s="208"/>
      <c r="R311" s="208"/>
      <c r="S311" s="208"/>
      <c r="T311" s="208"/>
      <c r="U311" s="208"/>
      <c r="V311" s="208"/>
      <c r="W311" s="208"/>
      <c r="X311" s="208"/>
      <c r="Y311" s="208"/>
      <c r="Z311" s="208"/>
    </row>
    <row r="312" spans="1:26">
      <c r="A312" s="242"/>
      <c r="B312" s="242"/>
      <c r="C312" s="242"/>
      <c r="D312" s="242"/>
      <c r="E312" s="242"/>
      <c r="F312" s="242"/>
      <c r="G312" s="208"/>
      <c r="H312" s="208"/>
      <c r="I312" s="208"/>
      <c r="J312" s="208"/>
      <c r="K312" s="208"/>
      <c r="L312" s="208"/>
      <c r="M312" s="208"/>
      <c r="N312" s="208"/>
      <c r="O312" s="208"/>
      <c r="P312" s="208"/>
      <c r="Q312" s="208"/>
      <c r="R312" s="208"/>
      <c r="S312" s="208"/>
      <c r="T312" s="208"/>
      <c r="U312" s="208"/>
      <c r="V312" s="208"/>
      <c r="W312" s="208"/>
      <c r="X312" s="208"/>
      <c r="Y312" s="208"/>
      <c r="Z312" s="208"/>
    </row>
    <row r="313" spans="1:26">
      <c r="A313" s="242"/>
      <c r="B313" s="242"/>
      <c r="C313" s="242"/>
      <c r="D313" s="242"/>
      <c r="E313" s="242"/>
      <c r="F313" s="242"/>
      <c r="G313" s="208"/>
      <c r="H313" s="208"/>
      <c r="I313" s="208"/>
      <c r="J313" s="208"/>
      <c r="K313" s="208"/>
      <c r="L313" s="208"/>
      <c r="M313" s="208"/>
      <c r="N313" s="208"/>
      <c r="O313" s="208"/>
      <c r="P313" s="208"/>
      <c r="Q313" s="208"/>
      <c r="R313" s="208"/>
      <c r="S313" s="208"/>
      <c r="T313" s="208"/>
      <c r="U313" s="208"/>
      <c r="V313" s="208"/>
      <c r="W313" s="208"/>
      <c r="X313" s="208"/>
      <c r="Y313" s="208"/>
      <c r="Z313" s="208"/>
    </row>
    <row r="314" spans="1:26">
      <c r="A314" s="242"/>
      <c r="B314" s="242"/>
      <c r="C314" s="242"/>
      <c r="D314" s="242"/>
      <c r="E314" s="242"/>
      <c r="F314" s="242"/>
      <c r="G314" s="208"/>
      <c r="H314" s="208"/>
      <c r="I314" s="208"/>
      <c r="J314" s="208"/>
      <c r="K314" s="208"/>
      <c r="L314" s="208"/>
      <c r="M314" s="208"/>
      <c r="N314" s="208"/>
      <c r="O314" s="208"/>
      <c r="P314" s="208"/>
      <c r="Q314" s="208"/>
      <c r="R314" s="208"/>
      <c r="S314" s="208"/>
      <c r="T314" s="208"/>
      <c r="U314" s="208"/>
      <c r="V314" s="208"/>
      <c r="W314" s="208"/>
      <c r="X314" s="208"/>
      <c r="Y314" s="208"/>
      <c r="Z314" s="208"/>
    </row>
    <row r="315" spans="1:26">
      <c r="A315" s="242"/>
      <c r="B315" s="242"/>
      <c r="C315" s="242"/>
      <c r="D315" s="242"/>
      <c r="E315" s="242"/>
      <c r="F315" s="242"/>
      <c r="G315" s="208"/>
      <c r="H315" s="208"/>
      <c r="I315" s="208"/>
      <c r="J315" s="208"/>
      <c r="K315" s="208"/>
      <c r="L315" s="208"/>
      <c r="M315" s="208"/>
      <c r="N315" s="208"/>
      <c r="O315" s="208"/>
      <c r="P315" s="208"/>
      <c r="Q315" s="208"/>
      <c r="R315" s="208"/>
      <c r="S315" s="208"/>
      <c r="T315" s="208"/>
      <c r="U315" s="208"/>
      <c r="V315" s="208"/>
      <c r="W315" s="208"/>
      <c r="X315" s="208"/>
      <c r="Y315" s="208"/>
      <c r="Z315" s="208"/>
    </row>
    <row r="316" spans="1:26">
      <c r="A316" s="242"/>
      <c r="B316" s="242"/>
      <c r="C316" s="242"/>
      <c r="D316" s="242"/>
      <c r="E316" s="242"/>
      <c r="F316" s="242"/>
      <c r="G316" s="208"/>
      <c r="H316" s="208"/>
      <c r="I316" s="208"/>
      <c r="J316" s="208"/>
      <c r="K316" s="208"/>
      <c r="L316" s="208"/>
      <c r="M316" s="208"/>
      <c r="N316" s="208"/>
      <c r="O316" s="208"/>
      <c r="P316" s="208"/>
      <c r="Q316" s="208"/>
      <c r="R316" s="208"/>
      <c r="S316" s="208"/>
      <c r="T316" s="208"/>
      <c r="U316" s="208"/>
      <c r="V316" s="208"/>
      <c r="W316" s="208"/>
      <c r="X316" s="208"/>
      <c r="Y316" s="208"/>
      <c r="Z316" s="208"/>
    </row>
    <row r="317" spans="1:26">
      <c r="A317" s="242"/>
      <c r="B317" s="242"/>
      <c r="C317" s="242"/>
      <c r="D317" s="242"/>
      <c r="E317" s="242"/>
      <c r="F317" s="242"/>
      <c r="G317" s="208"/>
      <c r="H317" s="208"/>
      <c r="I317" s="208"/>
      <c r="J317" s="208"/>
      <c r="K317" s="208"/>
      <c r="L317" s="208"/>
      <c r="M317" s="208"/>
      <c r="N317" s="208"/>
      <c r="O317" s="208"/>
      <c r="P317" s="208"/>
      <c r="Q317" s="208"/>
      <c r="R317" s="208"/>
      <c r="S317" s="208"/>
      <c r="T317" s="208"/>
      <c r="U317" s="208"/>
      <c r="V317" s="208"/>
      <c r="W317" s="208"/>
      <c r="X317" s="208"/>
      <c r="Y317" s="208"/>
      <c r="Z317" s="208"/>
    </row>
    <row r="318" spans="1:26">
      <c r="A318" s="242"/>
      <c r="B318" s="242"/>
      <c r="C318" s="242"/>
      <c r="D318" s="242"/>
      <c r="E318" s="242"/>
      <c r="F318" s="242"/>
      <c r="G318" s="208"/>
      <c r="H318" s="208"/>
      <c r="I318" s="208"/>
      <c r="J318" s="208"/>
      <c r="K318" s="208"/>
      <c r="L318" s="208"/>
      <c r="M318" s="208"/>
      <c r="N318" s="208"/>
      <c r="O318" s="208"/>
      <c r="P318" s="208"/>
      <c r="Q318" s="208"/>
      <c r="R318" s="208"/>
      <c r="S318" s="208"/>
      <c r="T318" s="208"/>
      <c r="U318" s="208"/>
      <c r="V318" s="208"/>
      <c r="W318" s="208"/>
      <c r="X318" s="208"/>
      <c r="Y318" s="208"/>
      <c r="Z318" s="208"/>
    </row>
    <row r="319" spans="1:26">
      <c r="A319" s="242"/>
      <c r="B319" s="242"/>
      <c r="C319" s="242"/>
      <c r="D319" s="242"/>
      <c r="E319" s="242"/>
      <c r="F319" s="242"/>
      <c r="G319" s="208"/>
      <c r="H319" s="208"/>
      <c r="I319" s="208"/>
      <c r="J319" s="208"/>
      <c r="K319" s="208"/>
      <c r="L319" s="208"/>
      <c r="M319" s="208"/>
      <c r="N319" s="208"/>
      <c r="O319" s="208"/>
      <c r="P319" s="208"/>
      <c r="Q319" s="208"/>
      <c r="R319" s="208"/>
      <c r="S319" s="208"/>
      <c r="T319" s="208"/>
      <c r="U319" s="208"/>
      <c r="V319" s="208"/>
      <c r="W319" s="208"/>
      <c r="X319" s="208"/>
      <c r="Y319" s="208"/>
      <c r="Z319" s="208"/>
    </row>
    <row r="320" spans="1:26">
      <c r="A320" s="242"/>
      <c r="B320" s="242"/>
      <c r="C320" s="242"/>
      <c r="D320" s="242"/>
      <c r="E320" s="242"/>
      <c r="F320" s="242"/>
      <c r="G320" s="208"/>
      <c r="H320" s="208"/>
      <c r="I320" s="208"/>
      <c r="J320" s="208"/>
      <c r="K320" s="208"/>
      <c r="L320" s="208"/>
      <c r="M320" s="208"/>
      <c r="N320" s="208"/>
      <c r="O320" s="208"/>
      <c r="P320" s="208"/>
      <c r="Q320" s="208"/>
      <c r="R320" s="208"/>
      <c r="S320" s="208"/>
      <c r="T320" s="208"/>
      <c r="U320" s="208"/>
      <c r="V320" s="208"/>
      <c r="W320" s="208"/>
      <c r="X320" s="208"/>
      <c r="Y320" s="208"/>
      <c r="Z320" s="208"/>
    </row>
    <row r="321" spans="1:26">
      <c r="A321" s="242"/>
      <c r="B321" s="242"/>
      <c r="C321" s="242"/>
      <c r="D321" s="242"/>
      <c r="E321" s="242"/>
      <c r="F321" s="242"/>
      <c r="G321" s="208"/>
      <c r="H321" s="208"/>
      <c r="I321" s="208"/>
      <c r="J321" s="208"/>
      <c r="K321" s="208"/>
      <c r="L321" s="208"/>
      <c r="M321" s="208"/>
      <c r="N321" s="208"/>
      <c r="O321" s="208"/>
      <c r="P321" s="208"/>
      <c r="Q321" s="208"/>
      <c r="R321" s="208"/>
      <c r="S321" s="208"/>
      <c r="T321" s="208"/>
      <c r="U321" s="208"/>
      <c r="V321" s="208"/>
      <c r="W321" s="208"/>
      <c r="X321" s="208"/>
      <c r="Y321" s="208"/>
      <c r="Z321" s="208"/>
    </row>
    <row r="322" spans="1:26">
      <c r="A322" s="242"/>
      <c r="B322" s="242"/>
      <c r="C322" s="242"/>
      <c r="D322" s="242"/>
      <c r="E322" s="242"/>
      <c r="F322" s="242"/>
      <c r="G322" s="208"/>
      <c r="H322" s="208"/>
      <c r="I322" s="208"/>
      <c r="J322" s="208"/>
      <c r="K322" s="208"/>
      <c r="L322" s="208"/>
      <c r="M322" s="208"/>
      <c r="N322" s="208"/>
      <c r="O322" s="208"/>
      <c r="P322" s="208"/>
      <c r="Q322" s="208"/>
      <c r="R322" s="208"/>
      <c r="S322" s="208"/>
      <c r="T322" s="208"/>
      <c r="U322" s="208"/>
      <c r="V322" s="208"/>
      <c r="W322" s="208"/>
      <c r="X322" s="208"/>
      <c r="Y322" s="208"/>
      <c r="Z322" s="208"/>
    </row>
    <row r="323" spans="1:26">
      <c r="A323" s="242"/>
      <c r="B323" s="242"/>
      <c r="C323" s="242"/>
      <c r="D323" s="242"/>
      <c r="E323" s="242"/>
      <c r="F323" s="242"/>
      <c r="G323" s="208"/>
      <c r="H323" s="208"/>
      <c r="I323" s="208"/>
      <c r="J323" s="208"/>
      <c r="K323" s="208"/>
      <c r="L323" s="208"/>
      <c r="M323" s="208"/>
      <c r="N323" s="208"/>
      <c r="O323" s="208"/>
      <c r="P323" s="208"/>
      <c r="Q323" s="208"/>
      <c r="R323" s="208"/>
      <c r="S323" s="208"/>
      <c r="T323" s="208"/>
      <c r="U323" s="208"/>
      <c r="V323" s="208"/>
      <c r="W323" s="208"/>
      <c r="X323" s="208"/>
      <c r="Y323" s="208"/>
      <c r="Z323" s="208"/>
    </row>
    <row r="324" spans="1:26">
      <c r="A324" s="242"/>
      <c r="B324" s="242"/>
      <c r="C324" s="242"/>
      <c r="D324" s="242"/>
      <c r="E324" s="242"/>
      <c r="F324" s="242"/>
      <c r="G324" s="208"/>
      <c r="H324" s="208"/>
      <c r="I324" s="208"/>
      <c r="J324" s="208"/>
      <c r="K324" s="208"/>
      <c r="L324" s="208"/>
      <c r="M324" s="208"/>
      <c r="N324" s="208"/>
      <c r="O324" s="208"/>
      <c r="P324" s="208"/>
      <c r="Q324" s="208"/>
      <c r="R324" s="208"/>
      <c r="S324" s="208"/>
      <c r="T324" s="208"/>
      <c r="U324" s="208"/>
      <c r="V324" s="208"/>
      <c r="W324" s="208"/>
      <c r="X324" s="208"/>
      <c r="Y324" s="208"/>
      <c r="Z324" s="208"/>
    </row>
    <row r="325" spans="1:26">
      <c r="A325" s="242"/>
      <c r="B325" s="242"/>
      <c r="C325" s="242"/>
      <c r="D325" s="242"/>
      <c r="E325" s="242"/>
      <c r="F325" s="242"/>
      <c r="G325" s="208"/>
      <c r="H325" s="208"/>
      <c r="I325" s="208"/>
      <c r="J325" s="208"/>
      <c r="K325" s="208"/>
      <c r="L325" s="208"/>
      <c r="M325" s="208"/>
      <c r="N325" s="208"/>
      <c r="O325" s="208"/>
      <c r="P325" s="208"/>
      <c r="Q325" s="208"/>
      <c r="R325" s="208"/>
      <c r="S325" s="208"/>
      <c r="T325" s="208"/>
      <c r="U325" s="208"/>
      <c r="V325" s="208"/>
      <c r="W325" s="208"/>
      <c r="X325" s="208"/>
      <c r="Y325" s="208"/>
      <c r="Z325" s="208"/>
    </row>
    <row r="326" spans="1:26">
      <c r="A326" s="242"/>
      <c r="B326" s="242"/>
      <c r="C326" s="242"/>
      <c r="D326" s="242"/>
      <c r="E326" s="242"/>
      <c r="F326" s="242"/>
      <c r="G326" s="208"/>
      <c r="H326" s="208"/>
      <c r="I326" s="208"/>
      <c r="J326" s="208"/>
      <c r="K326" s="208"/>
      <c r="L326" s="208"/>
      <c r="M326" s="208"/>
      <c r="N326" s="208"/>
      <c r="O326" s="208"/>
      <c r="P326" s="208"/>
      <c r="Q326" s="208"/>
      <c r="R326" s="208"/>
      <c r="S326" s="208"/>
      <c r="T326" s="208"/>
      <c r="U326" s="208"/>
      <c r="V326" s="208"/>
      <c r="W326" s="208"/>
      <c r="X326" s="208"/>
      <c r="Y326" s="208"/>
      <c r="Z326" s="208"/>
    </row>
    <row r="327" spans="1:26">
      <c r="A327" s="242"/>
      <c r="B327" s="242"/>
      <c r="C327" s="242"/>
      <c r="D327" s="242"/>
      <c r="E327" s="242"/>
      <c r="F327" s="242"/>
      <c r="G327" s="208"/>
      <c r="H327" s="208"/>
      <c r="I327" s="208"/>
      <c r="J327" s="208"/>
      <c r="K327" s="208"/>
      <c r="L327" s="208"/>
      <c r="M327" s="208"/>
      <c r="N327" s="208"/>
      <c r="O327" s="208"/>
      <c r="P327" s="208"/>
      <c r="Q327" s="208"/>
      <c r="R327" s="208"/>
      <c r="S327" s="208"/>
      <c r="T327" s="208"/>
      <c r="U327" s="208"/>
      <c r="V327" s="208"/>
      <c r="W327" s="208"/>
      <c r="X327" s="208"/>
      <c r="Y327" s="208"/>
      <c r="Z327" s="208"/>
    </row>
    <row r="328" spans="1:26">
      <c r="A328" s="242"/>
      <c r="B328" s="242"/>
      <c r="C328" s="242"/>
      <c r="D328" s="242"/>
      <c r="E328" s="242"/>
      <c r="F328" s="242"/>
      <c r="G328" s="208"/>
      <c r="H328" s="208"/>
      <c r="I328" s="208"/>
      <c r="J328" s="208"/>
      <c r="K328" s="208"/>
      <c r="L328" s="208"/>
      <c r="M328" s="208"/>
      <c r="N328" s="208"/>
      <c r="O328" s="208"/>
      <c r="P328" s="208"/>
      <c r="Q328" s="208"/>
      <c r="R328" s="208"/>
      <c r="S328" s="208"/>
      <c r="T328" s="208"/>
      <c r="U328" s="208"/>
      <c r="V328" s="208"/>
      <c r="W328" s="208"/>
      <c r="X328" s="208"/>
      <c r="Y328" s="208"/>
      <c r="Z328" s="208"/>
    </row>
    <row r="329" spans="1:26">
      <c r="A329" s="242"/>
      <c r="B329" s="242"/>
      <c r="C329" s="242"/>
      <c r="D329" s="242"/>
      <c r="E329" s="242"/>
      <c r="F329" s="242"/>
      <c r="G329" s="208"/>
      <c r="H329" s="208"/>
      <c r="I329" s="208"/>
      <c r="J329" s="208"/>
      <c r="K329" s="208"/>
      <c r="L329" s="208"/>
      <c r="M329" s="208"/>
      <c r="N329" s="208"/>
      <c r="O329" s="208"/>
      <c r="P329" s="208"/>
      <c r="Q329" s="208"/>
      <c r="R329" s="208"/>
      <c r="S329" s="208"/>
      <c r="T329" s="208"/>
      <c r="U329" s="208"/>
      <c r="V329" s="208"/>
      <c r="W329" s="208"/>
      <c r="X329" s="208"/>
      <c r="Y329" s="208"/>
      <c r="Z329" s="208"/>
    </row>
    <row r="330" spans="1:26">
      <c r="A330" s="242"/>
      <c r="B330" s="242"/>
      <c r="C330" s="242"/>
      <c r="D330" s="242"/>
      <c r="E330" s="242"/>
      <c r="F330" s="242"/>
      <c r="G330" s="208"/>
      <c r="H330" s="208"/>
      <c r="I330" s="208"/>
      <c r="J330" s="208"/>
      <c r="K330" s="208"/>
      <c r="L330" s="208"/>
      <c r="M330" s="208"/>
      <c r="N330" s="208"/>
      <c r="O330" s="208"/>
      <c r="P330" s="208"/>
      <c r="Q330" s="208"/>
      <c r="R330" s="208"/>
      <c r="S330" s="208"/>
      <c r="T330" s="208"/>
      <c r="U330" s="208"/>
      <c r="V330" s="208"/>
      <c r="W330" s="208"/>
      <c r="X330" s="208"/>
      <c r="Y330" s="208"/>
      <c r="Z330" s="208"/>
    </row>
    <row r="331" spans="1:26">
      <c r="A331" s="242"/>
      <c r="B331" s="242"/>
      <c r="C331" s="242"/>
      <c r="D331" s="242"/>
      <c r="E331" s="242"/>
      <c r="F331" s="242"/>
      <c r="G331" s="208"/>
      <c r="H331" s="208"/>
      <c r="I331" s="208"/>
      <c r="J331" s="208"/>
      <c r="K331" s="208"/>
      <c r="L331" s="208"/>
      <c r="M331" s="208"/>
      <c r="N331" s="208"/>
      <c r="O331" s="208"/>
      <c r="P331" s="208"/>
      <c r="Q331" s="208"/>
      <c r="R331" s="208"/>
      <c r="S331" s="208"/>
      <c r="T331" s="208"/>
      <c r="U331" s="208"/>
      <c r="V331" s="208"/>
      <c r="W331" s="208"/>
      <c r="X331" s="208"/>
      <c r="Y331" s="208"/>
      <c r="Z331" s="208"/>
    </row>
    <row r="332" spans="1:26">
      <c r="A332" s="242"/>
      <c r="B332" s="242"/>
      <c r="C332" s="242"/>
      <c r="D332" s="242"/>
      <c r="E332" s="242"/>
      <c r="F332" s="242"/>
      <c r="G332" s="208"/>
      <c r="H332" s="208"/>
      <c r="I332" s="208"/>
      <c r="J332" s="208"/>
      <c r="K332" s="208"/>
      <c r="L332" s="208"/>
      <c r="M332" s="208"/>
      <c r="N332" s="208"/>
      <c r="O332" s="208"/>
      <c r="P332" s="208"/>
      <c r="Q332" s="208"/>
      <c r="R332" s="208"/>
      <c r="S332" s="208"/>
      <c r="T332" s="208"/>
      <c r="U332" s="208"/>
      <c r="V332" s="208"/>
      <c r="W332" s="208"/>
      <c r="X332" s="208"/>
      <c r="Y332" s="208"/>
      <c r="Z332" s="208"/>
    </row>
    <row r="333" spans="1:26">
      <c r="A333" s="242"/>
      <c r="B333" s="242"/>
      <c r="C333" s="242"/>
      <c r="D333" s="242"/>
      <c r="E333" s="242"/>
      <c r="F333" s="242"/>
      <c r="G333" s="208"/>
      <c r="H333" s="208"/>
      <c r="I333" s="208"/>
      <c r="J333" s="208"/>
      <c r="K333" s="208"/>
      <c r="L333" s="208"/>
      <c r="M333" s="208"/>
      <c r="N333" s="208"/>
      <c r="O333" s="208"/>
      <c r="P333" s="208"/>
      <c r="Q333" s="208"/>
      <c r="R333" s="208"/>
      <c r="S333" s="208"/>
      <c r="T333" s="208"/>
      <c r="U333" s="208"/>
      <c r="V333" s="208"/>
      <c r="W333" s="208"/>
      <c r="X333" s="208"/>
      <c r="Y333" s="208"/>
      <c r="Z333" s="208"/>
    </row>
    <row r="334" spans="1:26">
      <c r="A334" s="242"/>
      <c r="B334" s="242"/>
      <c r="C334" s="242"/>
      <c r="D334" s="242"/>
      <c r="E334" s="242"/>
      <c r="F334" s="242"/>
      <c r="G334" s="208"/>
      <c r="H334" s="208"/>
      <c r="I334" s="208"/>
      <c r="J334" s="208"/>
      <c r="K334" s="208"/>
      <c r="L334" s="208"/>
      <c r="M334" s="208"/>
      <c r="N334" s="208"/>
      <c r="O334" s="208"/>
      <c r="P334" s="208"/>
      <c r="Q334" s="208"/>
      <c r="R334" s="208"/>
      <c r="S334" s="208"/>
      <c r="T334" s="208"/>
      <c r="U334" s="208"/>
      <c r="V334" s="208"/>
      <c r="W334" s="208"/>
      <c r="X334" s="208"/>
      <c r="Y334" s="208"/>
      <c r="Z334" s="208"/>
    </row>
    <row r="335" spans="1:26">
      <c r="A335" s="242"/>
      <c r="B335" s="242"/>
      <c r="C335" s="242"/>
      <c r="D335" s="242"/>
      <c r="E335" s="242"/>
      <c r="F335" s="242"/>
      <c r="G335" s="208"/>
      <c r="H335" s="208"/>
      <c r="I335" s="208"/>
      <c r="J335" s="208"/>
      <c r="K335" s="208"/>
      <c r="L335" s="208"/>
      <c r="M335" s="208"/>
      <c r="N335" s="208"/>
      <c r="O335" s="208"/>
      <c r="P335" s="208"/>
      <c r="Q335" s="208"/>
      <c r="R335" s="208"/>
      <c r="S335" s="208"/>
      <c r="T335" s="208"/>
      <c r="U335" s="208"/>
      <c r="V335" s="208"/>
      <c r="W335" s="208"/>
      <c r="X335" s="208"/>
      <c r="Y335" s="208"/>
      <c r="Z335" s="208"/>
    </row>
    <row r="336" spans="1:26">
      <c r="A336" s="242"/>
      <c r="B336" s="242"/>
      <c r="C336" s="242"/>
      <c r="D336" s="242"/>
      <c r="E336" s="242"/>
      <c r="F336" s="242"/>
      <c r="G336" s="208"/>
      <c r="H336" s="208"/>
      <c r="I336" s="208"/>
      <c r="J336" s="208"/>
      <c r="K336" s="208"/>
      <c r="L336" s="208"/>
      <c r="M336" s="208"/>
      <c r="N336" s="208"/>
      <c r="O336" s="208"/>
      <c r="P336" s="208"/>
      <c r="Q336" s="208"/>
      <c r="R336" s="208"/>
      <c r="S336" s="208"/>
      <c r="T336" s="208"/>
      <c r="U336" s="208"/>
      <c r="V336" s="208"/>
      <c r="W336" s="208"/>
      <c r="X336" s="208"/>
      <c r="Y336" s="208"/>
      <c r="Z336" s="208"/>
    </row>
    <row r="337" spans="1:26">
      <c r="A337" s="242"/>
      <c r="B337" s="242"/>
      <c r="C337" s="242"/>
      <c r="D337" s="242"/>
      <c r="E337" s="242"/>
      <c r="F337" s="242"/>
      <c r="G337" s="208"/>
      <c r="H337" s="208"/>
      <c r="I337" s="208"/>
      <c r="J337" s="208"/>
      <c r="K337" s="208"/>
      <c r="L337" s="208"/>
      <c r="M337" s="208"/>
      <c r="N337" s="208"/>
      <c r="O337" s="208"/>
      <c r="P337" s="208"/>
      <c r="Q337" s="208"/>
      <c r="R337" s="208"/>
      <c r="S337" s="208"/>
      <c r="T337" s="208"/>
      <c r="U337" s="208"/>
      <c r="V337" s="208"/>
      <c r="W337" s="208"/>
      <c r="X337" s="208"/>
      <c r="Y337" s="208"/>
      <c r="Z337" s="208"/>
    </row>
    <row r="338" spans="1:26">
      <c r="A338" s="242"/>
      <c r="B338" s="242"/>
      <c r="C338" s="242"/>
      <c r="D338" s="242"/>
      <c r="E338" s="242"/>
      <c r="F338" s="242"/>
      <c r="G338" s="208"/>
      <c r="H338" s="208"/>
      <c r="I338" s="208"/>
      <c r="J338" s="208"/>
      <c r="K338" s="208"/>
      <c r="L338" s="208"/>
      <c r="M338" s="208"/>
      <c r="N338" s="208"/>
      <c r="O338" s="208"/>
      <c r="P338" s="208"/>
      <c r="Q338" s="208"/>
      <c r="R338" s="208"/>
      <c r="S338" s="208"/>
      <c r="T338" s="208"/>
      <c r="U338" s="208"/>
      <c r="V338" s="208"/>
      <c r="W338" s="208"/>
      <c r="X338" s="208"/>
      <c r="Y338" s="208"/>
      <c r="Z338" s="208"/>
    </row>
    <row r="339" spans="1:26">
      <c r="A339" s="242"/>
      <c r="B339" s="242"/>
      <c r="C339" s="242"/>
      <c r="D339" s="242"/>
      <c r="E339" s="242"/>
      <c r="F339" s="242"/>
      <c r="G339" s="208"/>
      <c r="H339" s="208"/>
      <c r="I339" s="208"/>
      <c r="J339" s="208"/>
      <c r="K339" s="208"/>
      <c r="L339" s="208"/>
      <c r="M339" s="208"/>
      <c r="N339" s="208"/>
      <c r="O339" s="208"/>
      <c r="P339" s="208"/>
      <c r="Q339" s="208"/>
      <c r="R339" s="208"/>
      <c r="S339" s="208"/>
      <c r="T339" s="208"/>
      <c r="U339" s="208"/>
      <c r="V339" s="208"/>
      <c r="W339" s="208"/>
      <c r="X339" s="208"/>
      <c r="Y339" s="208"/>
      <c r="Z339" s="208"/>
    </row>
    <row r="340" spans="1:26">
      <c r="A340" s="242"/>
      <c r="B340" s="242"/>
      <c r="C340" s="242"/>
      <c r="D340" s="242"/>
      <c r="E340" s="242"/>
      <c r="F340" s="242"/>
      <c r="G340" s="208"/>
      <c r="H340" s="208"/>
      <c r="I340" s="208"/>
      <c r="J340" s="208"/>
      <c r="K340" s="208"/>
      <c r="L340" s="208"/>
      <c r="M340" s="208"/>
      <c r="N340" s="208"/>
      <c r="O340" s="208"/>
      <c r="P340" s="208"/>
      <c r="Q340" s="208"/>
      <c r="R340" s="208"/>
      <c r="S340" s="208"/>
      <c r="T340" s="208"/>
      <c r="U340" s="208"/>
      <c r="V340" s="208"/>
      <c r="W340" s="208"/>
      <c r="X340" s="208"/>
      <c r="Y340" s="208"/>
      <c r="Z340" s="208"/>
    </row>
    <row r="341" spans="1:26">
      <c r="A341" s="242"/>
      <c r="B341" s="242"/>
      <c r="C341" s="242"/>
      <c r="D341" s="242"/>
      <c r="E341" s="242"/>
      <c r="F341" s="242"/>
      <c r="G341" s="208"/>
      <c r="H341" s="208"/>
      <c r="I341" s="208"/>
      <c r="J341" s="208"/>
      <c r="K341" s="208"/>
      <c r="L341" s="208"/>
      <c r="M341" s="208"/>
      <c r="N341" s="208"/>
      <c r="O341" s="208"/>
      <c r="P341" s="208"/>
      <c r="Q341" s="208"/>
      <c r="R341" s="208"/>
      <c r="S341" s="208"/>
      <c r="T341" s="208"/>
      <c r="U341" s="208"/>
      <c r="V341" s="208"/>
      <c r="W341" s="208"/>
      <c r="X341" s="208"/>
      <c r="Y341" s="208"/>
      <c r="Z341" s="208"/>
    </row>
    <row r="342" spans="1:26">
      <c r="A342" s="242"/>
      <c r="B342" s="242"/>
      <c r="C342" s="242"/>
      <c r="D342" s="242"/>
      <c r="E342" s="242"/>
      <c r="F342" s="242"/>
      <c r="G342" s="208"/>
      <c r="H342" s="208"/>
      <c r="I342" s="208"/>
      <c r="J342" s="208"/>
      <c r="K342" s="208"/>
      <c r="L342" s="208"/>
      <c r="M342" s="208"/>
      <c r="N342" s="208"/>
      <c r="O342" s="208"/>
      <c r="P342" s="208"/>
      <c r="Q342" s="208"/>
      <c r="R342" s="208"/>
      <c r="S342" s="208"/>
      <c r="T342" s="208"/>
      <c r="U342" s="208"/>
      <c r="V342" s="208"/>
      <c r="W342" s="208"/>
      <c r="X342" s="208"/>
      <c r="Y342" s="208"/>
      <c r="Z342" s="208"/>
    </row>
    <row r="343" spans="1:26">
      <c r="A343" s="242"/>
      <c r="B343" s="242"/>
      <c r="C343" s="242"/>
      <c r="D343" s="242"/>
      <c r="E343" s="242"/>
      <c r="F343" s="242"/>
      <c r="G343" s="208"/>
      <c r="H343" s="208"/>
      <c r="I343" s="208"/>
      <c r="J343" s="208"/>
      <c r="K343" s="208"/>
      <c r="L343" s="208"/>
      <c r="M343" s="208"/>
      <c r="N343" s="208"/>
      <c r="O343" s="208"/>
      <c r="P343" s="208"/>
      <c r="Q343" s="208"/>
      <c r="R343" s="208"/>
      <c r="S343" s="208"/>
      <c r="T343" s="208"/>
      <c r="U343" s="208"/>
      <c r="V343" s="208"/>
      <c r="W343" s="208"/>
      <c r="X343" s="208"/>
      <c r="Y343" s="208"/>
      <c r="Z343" s="208"/>
    </row>
    <row r="344" spans="1:26">
      <c r="A344" s="242"/>
      <c r="B344" s="242"/>
      <c r="C344" s="242"/>
      <c r="D344" s="242"/>
      <c r="E344" s="242"/>
      <c r="F344" s="242"/>
      <c r="G344" s="208"/>
      <c r="H344" s="208"/>
      <c r="I344" s="208"/>
      <c r="J344" s="208"/>
      <c r="K344" s="208"/>
      <c r="L344" s="208"/>
      <c r="M344" s="208"/>
      <c r="N344" s="208"/>
      <c r="O344" s="208"/>
      <c r="P344" s="208"/>
      <c r="Q344" s="208"/>
      <c r="R344" s="208"/>
      <c r="S344" s="208"/>
      <c r="T344" s="208"/>
      <c r="U344" s="208"/>
      <c r="V344" s="208"/>
      <c r="W344" s="208"/>
      <c r="X344" s="208"/>
      <c r="Y344" s="208"/>
      <c r="Z344" s="208"/>
    </row>
    <row r="345" spans="1:26">
      <c r="A345" s="242"/>
      <c r="B345" s="242"/>
      <c r="C345" s="242"/>
      <c r="D345" s="242"/>
      <c r="E345" s="242"/>
      <c r="F345" s="242"/>
      <c r="G345" s="208"/>
      <c r="H345" s="208"/>
      <c r="I345" s="208"/>
      <c r="J345" s="208"/>
      <c r="K345" s="208"/>
      <c r="L345" s="208"/>
      <c r="M345" s="208"/>
      <c r="N345" s="208"/>
      <c r="O345" s="208"/>
      <c r="P345" s="208"/>
      <c r="Q345" s="208"/>
      <c r="R345" s="208"/>
      <c r="S345" s="208"/>
      <c r="T345" s="208"/>
      <c r="U345" s="208"/>
      <c r="V345" s="208"/>
      <c r="W345" s="208"/>
      <c r="X345" s="208"/>
      <c r="Y345" s="208"/>
      <c r="Z345" s="208"/>
    </row>
    <row r="346" spans="1:26">
      <c r="A346" s="242"/>
      <c r="B346" s="242"/>
      <c r="C346" s="242"/>
      <c r="D346" s="242"/>
      <c r="E346" s="242"/>
      <c r="F346" s="242"/>
      <c r="G346" s="208"/>
      <c r="H346" s="208"/>
      <c r="I346" s="208"/>
      <c r="J346" s="208"/>
      <c r="K346" s="208"/>
      <c r="L346" s="208"/>
      <c r="M346" s="208"/>
      <c r="N346" s="208"/>
      <c r="O346" s="208"/>
      <c r="P346" s="208"/>
      <c r="Q346" s="208"/>
      <c r="R346" s="208"/>
      <c r="S346" s="208"/>
      <c r="T346" s="208"/>
      <c r="U346" s="208"/>
      <c r="V346" s="208"/>
      <c r="W346" s="208"/>
      <c r="X346" s="208"/>
      <c r="Y346" s="208"/>
      <c r="Z346" s="208"/>
    </row>
    <row r="347" spans="1:26">
      <c r="A347" s="242"/>
      <c r="B347" s="242"/>
      <c r="C347" s="242"/>
      <c r="D347" s="242"/>
      <c r="E347" s="242"/>
      <c r="F347" s="242"/>
      <c r="G347" s="208"/>
      <c r="H347" s="208"/>
      <c r="I347" s="208"/>
      <c r="J347" s="208"/>
      <c r="K347" s="208"/>
      <c r="L347" s="208"/>
      <c r="M347" s="208"/>
      <c r="N347" s="208"/>
      <c r="O347" s="208"/>
      <c r="P347" s="208"/>
      <c r="Q347" s="208"/>
      <c r="R347" s="208"/>
      <c r="S347" s="208"/>
      <c r="T347" s="208"/>
      <c r="U347" s="208"/>
      <c r="V347" s="208"/>
      <c r="W347" s="208"/>
      <c r="X347" s="208"/>
      <c r="Y347" s="208"/>
      <c r="Z347" s="208"/>
    </row>
    <row r="348" spans="1:26">
      <c r="A348" s="242"/>
      <c r="B348" s="242"/>
      <c r="C348" s="242"/>
      <c r="D348" s="242"/>
      <c r="E348" s="242"/>
      <c r="F348" s="242"/>
      <c r="G348" s="208"/>
      <c r="H348" s="208"/>
      <c r="I348" s="208"/>
      <c r="J348" s="208"/>
      <c r="K348" s="208"/>
      <c r="L348" s="208"/>
      <c r="M348" s="208"/>
      <c r="N348" s="208"/>
      <c r="O348" s="208"/>
      <c r="P348" s="208"/>
      <c r="Q348" s="208"/>
      <c r="R348" s="208"/>
      <c r="S348" s="208"/>
      <c r="T348" s="208"/>
      <c r="U348" s="208"/>
      <c r="V348" s="208"/>
      <c r="W348" s="208"/>
      <c r="X348" s="208"/>
      <c r="Y348" s="208"/>
      <c r="Z348" s="208"/>
    </row>
    <row r="349" spans="1:26">
      <c r="A349" s="242"/>
      <c r="B349" s="242"/>
      <c r="C349" s="242"/>
      <c r="D349" s="242"/>
      <c r="E349" s="242"/>
      <c r="F349" s="242"/>
      <c r="G349" s="208"/>
      <c r="H349" s="208"/>
      <c r="I349" s="208"/>
      <c r="J349" s="208"/>
      <c r="K349" s="208"/>
      <c r="L349" s="208"/>
      <c r="M349" s="208"/>
      <c r="N349" s="208"/>
      <c r="O349" s="208"/>
      <c r="P349" s="208"/>
      <c r="Q349" s="208"/>
      <c r="R349" s="208"/>
      <c r="S349" s="208"/>
      <c r="T349" s="208"/>
      <c r="U349" s="208"/>
      <c r="V349" s="208"/>
      <c r="W349" s="208"/>
      <c r="X349" s="208"/>
      <c r="Y349" s="208"/>
      <c r="Z349" s="208"/>
    </row>
    <row r="350" spans="1:26">
      <c r="A350" s="242"/>
      <c r="B350" s="242"/>
      <c r="C350" s="242"/>
      <c r="D350" s="242"/>
      <c r="E350" s="242"/>
      <c r="F350" s="242"/>
      <c r="G350" s="208"/>
      <c r="H350" s="208"/>
      <c r="I350" s="208"/>
      <c r="J350" s="208"/>
      <c r="K350" s="208"/>
      <c r="L350" s="208"/>
      <c r="M350" s="208"/>
      <c r="N350" s="208"/>
      <c r="O350" s="208"/>
      <c r="P350" s="208"/>
      <c r="Q350" s="208"/>
      <c r="R350" s="208"/>
      <c r="S350" s="208"/>
      <c r="T350" s="208"/>
      <c r="U350" s="208"/>
      <c r="V350" s="208"/>
      <c r="W350" s="208"/>
      <c r="X350" s="208"/>
      <c r="Y350" s="208"/>
      <c r="Z350" s="208"/>
    </row>
    <row r="351" spans="1:26">
      <c r="A351" s="242"/>
      <c r="B351" s="242"/>
      <c r="C351" s="242"/>
      <c r="D351" s="242"/>
      <c r="E351" s="242"/>
      <c r="F351" s="242"/>
      <c r="G351" s="208"/>
      <c r="H351" s="208"/>
      <c r="I351" s="208"/>
      <c r="J351" s="208"/>
      <c r="K351" s="208"/>
      <c r="L351" s="208"/>
      <c r="M351" s="208"/>
      <c r="N351" s="208"/>
      <c r="O351" s="208"/>
      <c r="P351" s="208"/>
      <c r="Q351" s="208"/>
      <c r="R351" s="208"/>
      <c r="S351" s="208"/>
      <c r="T351" s="208"/>
      <c r="U351" s="208"/>
      <c r="V351" s="208"/>
      <c r="W351" s="208"/>
      <c r="X351" s="208"/>
      <c r="Y351" s="208"/>
      <c r="Z351" s="208"/>
    </row>
    <row r="352" spans="1:26">
      <c r="A352" s="242"/>
      <c r="B352" s="242"/>
      <c r="C352" s="242"/>
      <c r="D352" s="242"/>
      <c r="E352" s="242"/>
      <c r="F352" s="242"/>
      <c r="G352" s="208"/>
      <c r="H352" s="208"/>
      <c r="I352" s="208"/>
      <c r="J352" s="208"/>
      <c r="K352" s="208"/>
      <c r="L352" s="208"/>
      <c r="M352" s="208"/>
      <c r="N352" s="208"/>
      <c r="O352" s="208"/>
      <c r="P352" s="208"/>
      <c r="Q352" s="208"/>
      <c r="R352" s="208"/>
      <c r="S352" s="208"/>
      <c r="T352" s="208"/>
      <c r="U352" s="208"/>
      <c r="V352" s="208"/>
      <c r="W352" s="208"/>
      <c r="X352" s="208"/>
      <c r="Y352" s="208"/>
      <c r="Z352" s="208"/>
    </row>
    <row r="353" spans="1:26">
      <c r="A353" s="242"/>
      <c r="B353" s="242"/>
      <c r="C353" s="242"/>
      <c r="D353" s="242"/>
      <c r="E353" s="242"/>
      <c r="F353" s="242"/>
      <c r="G353" s="208"/>
      <c r="H353" s="208"/>
      <c r="I353" s="208"/>
      <c r="J353" s="208"/>
      <c r="K353" s="208"/>
      <c r="L353" s="208"/>
      <c r="M353" s="208"/>
      <c r="N353" s="208"/>
      <c r="O353" s="208"/>
      <c r="P353" s="208"/>
      <c r="Q353" s="208"/>
      <c r="R353" s="208"/>
      <c r="S353" s="208"/>
      <c r="T353" s="208"/>
      <c r="U353" s="208"/>
      <c r="V353" s="208"/>
      <c r="W353" s="208"/>
      <c r="X353" s="208"/>
      <c r="Y353" s="208"/>
      <c r="Z353" s="208"/>
    </row>
    <row r="354" spans="1:26">
      <c r="A354" s="242"/>
      <c r="B354" s="242"/>
      <c r="C354" s="242"/>
      <c r="D354" s="242"/>
      <c r="E354" s="242"/>
      <c r="F354" s="242"/>
      <c r="G354" s="208"/>
      <c r="H354" s="208"/>
      <c r="I354" s="208"/>
      <c r="J354" s="208"/>
      <c r="K354" s="208"/>
      <c r="L354" s="208"/>
      <c r="M354" s="208"/>
      <c r="N354" s="208"/>
      <c r="O354" s="208"/>
      <c r="P354" s="208"/>
      <c r="Q354" s="208"/>
      <c r="R354" s="208"/>
      <c r="S354" s="208"/>
      <c r="T354" s="208"/>
      <c r="U354" s="208"/>
      <c r="V354" s="208"/>
      <c r="W354" s="208"/>
      <c r="X354" s="208"/>
      <c r="Y354" s="208"/>
      <c r="Z354" s="208"/>
    </row>
    <row r="355" spans="1:26">
      <c r="A355" s="242"/>
      <c r="B355" s="242"/>
      <c r="C355" s="242"/>
      <c r="D355" s="242"/>
      <c r="E355" s="242"/>
      <c r="F355" s="242"/>
      <c r="G355" s="208"/>
      <c r="H355" s="208"/>
      <c r="I355" s="208"/>
      <c r="J355" s="208"/>
      <c r="K355" s="208"/>
      <c r="L355" s="208"/>
      <c r="M355" s="208"/>
      <c r="N355" s="208"/>
      <c r="O355" s="208"/>
      <c r="P355" s="208"/>
      <c r="Q355" s="208"/>
      <c r="R355" s="208"/>
      <c r="S355" s="208"/>
      <c r="T355" s="208"/>
      <c r="U355" s="208"/>
      <c r="V355" s="208"/>
      <c r="W355" s="208"/>
      <c r="X355" s="208"/>
      <c r="Y355" s="208"/>
      <c r="Z355" s="208"/>
    </row>
    <row r="356" spans="1:26">
      <c r="A356" s="242"/>
      <c r="B356" s="242"/>
      <c r="C356" s="242"/>
      <c r="D356" s="242"/>
      <c r="E356" s="242"/>
      <c r="F356" s="242"/>
      <c r="G356" s="208"/>
      <c r="H356" s="208"/>
      <c r="I356" s="208"/>
      <c r="J356" s="208"/>
      <c r="K356" s="208"/>
      <c r="L356" s="208"/>
      <c r="M356" s="208"/>
      <c r="N356" s="208"/>
      <c r="O356" s="208"/>
      <c r="P356" s="208"/>
      <c r="Q356" s="208"/>
      <c r="R356" s="208"/>
      <c r="S356" s="208"/>
      <c r="T356" s="208"/>
      <c r="U356" s="208"/>
      <c r="V356" s="208"/>
      <c r="W356" s="208"/>
      <c r="X356" s="208"/>
      <c r="Y356" s="208"/>
      <c r="Z356" s="208"/>
    </row>
    <row r="357" spans="1:26">
      <c r="A357" s="242"/>
      <c r="B357" s="242"/>
      <c r="C357" s="242"/>
      <c r="D357" s="242"/>
      <c r="E357" s="242"/>
      <c r="F357" s="242"/>
      <c r="G357" s="208"/>
      <c r="H357" s="208"/>
      <c r="I357" s="208"/>
      <c r="J357" s="208"/>
      <c r="K357" s="208"/>
      <c r="L357" s="208"/>
      <c r="M357" s="208"/>
      <c r="N357" s="208"/>
      <c r="O357" s="208"/>
      <c r="P357" s="208"/>
      <c r="Q357" s="208"/>
      <c r="R357" s="208"/>
      <c r="S357" s="208"/>
      <c r="T357" s="208"/>
      <c r="U357" s="208"/>
      <c r="V357" s="208"/>
      <c r="W357" s="208"/>
      <c r="X357" s="208"/>
      <c r="Y357" s="208"/>
      <c r="Z357" s="208"/>
    </row>
    <row r="358" spans="1:26">
      <c r="A358" s="242"/>
      <c r="B358" s="242"/>
      <c r="C358" s="242"/>
      <c r="D358" s="242"/>
      <c r="E358" s="242"/>
      <c r="F358" s="242"/>
      <c r="G358" s="208"/>
      <c r="H358" s="208"/>
      <c r="I358" s="208"/>
      <c r="J358" s="208"/>
      <c r="K358" s="208"/>
      <c r="L358" s="208"/>
      <c r="M358" s="208"/>
      <c r="N358" s="208"/>
      <c r="O358" s="208"/>
      <c r="P358" s="208"/>
      <c r="Q358" s="208"/>
      <c r="R358" s="208"/>
      <c r="S358" s="208"/>
      <c r="T358" s="208"/>
      <c r="U358" s="208"/>
      <c r="V358" s="208"/>
      <c r="W358" s="208"/>
      <c r="X358" s="208"/>
      <c r="Y358" s="208"/>
      <c r="Z358" s="208"/>
    </row>
    <row r="359" spans="1:26">
      <c r="A359" s="242"/>
      <c r="B359" s="242"/>
      <c r="C359" s="242"/>
      <c r="D359" s="242"/>
      <c r="E359" s="242"/>
      <c r="F359" s="242"/>
      <c r="G359" s="208"/>
      <c r="H359" s="208"/>
      <c r="I359" s="208"/>
      <c r="J359" s="208"/>
      <c r="K359" s="208"/>
      <c r="L359" s="208"/>
      <c r="M359" s="208"/>
      <c r="N359" s="208"/>
      <c r="O359" s="208"/>
      <c r="P359" s="208"/>
      <c r="Q359" s="208"/>
      <c r="R359" s="208"/>
      <c r="S359" s="208"/>
      <c r="T359" s="208"/>
      <c r="U359" s="208"/>
      <c r="V359" s="208"/>
      <c r="W359" s="208"/>
      <c r="X359" s="208"/>
      <c r="Y359" s="208"/>
      <c r="Z359" s="208"/>
    </row>
    <row r="360" spans="1:26">
      <c r="A360" s="242"/>
      <c r="B360" s="242"/>
      <c r="C360" s="242"/>
      <c r="D360" s="242"/>
      <c r="E360" s="242"/>
      <c r="F360" s="242"/>
      <c r="G360" s="208"/>
      <c r="H360" s="208"/>
      <c r="I360" s="208"/>
      <c r="J360" s="208"/>
      <c r="K360" s="208"/>
      <c r="L360" s="208"/>
      <c r="M360" s="208"/>
      <c r="N360" s="208"/>
      <c r="O360" s="208"/>
      <c r="P360" s="208"/>
      <c r="Q360" s="208"/>
      <c r="R360" s="208"/>
      <c r="S360" s="208"/>
      <c r="T360" s="208"/>
      <c r="U360" s="208"/>
      <c r="V360" s="208"/>
      <c r="W360" s="208"/>
      <c r="X360" s="208"/>
      <c r="Y360" s="208"/>
      <c r="Z360" s="208"/>
    </row>
    <row r="361" spans="1:26">
      <c r="A361" s="242"/>
      <c r="B361" s="242"/>
      <c r="C361" s="242"/>
      <c r="D361" s="242"/>
      <c r="E361" s="242"/>
      <c r="F361" s="242"/>
      <c r="G361" s="208"/>
      <c r="H361" s="208"/>
      <c r="I361" s="208"/>
      <c r="J361" s="208"/>
      <c r="K361" s="208"/>
      <c r="L361" s="208"/>
      <c r="M361" s="208"/>
      <c r="N361" s="208"/>
      <c r="O361" s="208"/>
      <c r="P361" s="208"/>
      <c r="Q361" s="208"/>
      <c r="R361" s="208"/>
      <c r="S361" s="208"/>
      <c r="T361" s="208"/>
      <c r="U361" s="208"/>
      <c r="V361" s="208"/>
      <c r="W361" s="208"/>
      <c r="X361" s="208"/>
      <c r="Y361" s="208"/>
      <c r="Z361" s="208"/>
    </row>
    <row r="362" spans="1:26">
      <c r="A362" s="242"/>
      <c r="B362" s="242"/>
      <c r="C362" s="242"/>
      <c r="D362" s="242"/>
      <c r="E362" s="242"/>
      <c r="F362" s="242"/>
      <c r="G362" s="208"/>
      <c r="H362" s="208"/>
      <c r="I362" s="208"/>
      <c r="J362" s="208"/>
      <c r="K362" s="208"/>
      <c r="L362" s="208"/>
      <c r="M362" s="208"/>
      <c r="N362" s="208"/>
      <c r="O362" s="208"/>
      <c r="P362" s="208"/>
      <c r="Q362" s="208"/>
      <c r="R362" s="208"/>
      <c r="S362" s="208"/>
      <c r="T362" s="208"/>
      <c r="U362" s="208"/>
      <c r="V362" s="208"/>
      <c r="W362" s="208"/>
      <c r="X362" s="208"/>
      <c r="Y362" s="208"/>
      <c r="Z362" s="208"/>
    </row>
    <row r="363" spans="1:26">
      <c r="A363" s="242"/>
      <c r="B363" s="242"/>
      <c r="C363" s="242"/>
      <c r="D363" s="242"/>
      <c r="E363" s="242"/>
      <c r="F363" s="242"/>
      <c r="G363" s="208"/>
      <c r="H363" s="208"/>
      <c r="I363" s="208"/>
      <c r="J363" s="208"/>
      <c r="K363" s="208"/>
      <c r="L363" s="208"/>
      <c r="M363" s="208"/>
      <c r="N363" s="208"/>
      <c r="O363" s="208"/>
      <c r="P363" s="208"/>
      <c r="Q363" s="208"/>
      <c r="R363" s="208"/>
      <c r="S363" s="208"/>
      <c r="T363" s="208"/>
      <c r="U363" s="208"/>
      <c r="V363" s="208"/>
      <c r="W363" s="208"/>
      <c r="X363" s="208"/>
      <c r="Y363" s="208"/>
      <c r="Z363" s="208"/>
    </row>
    <row r="364" spans="1:26">
      <c r="A364" s="242"/>
      <c r="B364" s="242"/>
      <c r="C364" s="242"/>
      <c r="D364" s="242"/>
      <c r="E364" s="242"/>
      <c r="F364" s="242"/>
      <c r="G364" s="208"/>
      <c r="H364" s="208"/>
      <c r="I364" s="208"/>
      <c r="J364" s="208"/>
      <c r="K364" s="208"/>
      <c r="L364" s="208"/>
      <c r="M364" s="208"/>
      <c r="N364" s="208"/>
      <c r="O364" s="208"/>
      <c r="P364" s="208"/>
      <c r="Q364" s="208"/>
      <c r="R364" s="208"/>
      <c r="S364" s="208"/>
      <c r="T364" s="208"/>
      <c r="U364" s="208"/>
      <c r="V364" s="208"/>
      <c r="W364" s="208"/>
      <c r="X364" s="208"/>
      <c r="Y364" s="208"/>
      <c r="Z364" s="208"/>
    </row>
    <row r="365" spans="1:26">
      <c r="A365" s="242"/>
      <c r="B365" s="242"/>
      <c r="C365" s="242"/>
      <c r="D365" s="242"/>
      <c r="E365" s="242"/>
      <c r="F365" s="242"/>
      <c r="G365" s="208"/>
      <c r="H365" s="208"/>
      <c r="I365" s="208"/>
      <c r="J365" s="208"/>
      <c r="K365" s="208"/>
      <c r="L365" s="208"/>
      <c r="M365" s="208"/>
      <c r="N365" s="208"/>
      <c r="O365" s="208"/>
      <c r="P365" s="208"/>
      <c r="Q365" s="208"/>
      <c r="R365" s="208"/>
      <c r="S365" s="208"/>
      <c r="T365" s="208"/>
      <c r="U365" s="208"/>
      <c r="V365" s="208"/>
      <c r="W365" s="208"/>
      <c r="X365" s="208"/>
      <c r="Y365" s="208"/>
      <c r="Z365" s="208"/>
    </row>
    <row r="366" spans="1:26">
      <c r="A366" s="242"/>
      <c r="B366" s="242"/>
      <c r="C366" s="242"/>
      <c r="D366" s="242"/>
      <c r="E366" s="242"/>
      <c r="F366" s="242"/>
      <c r="G366" s="208"/>
      <c r="H366" s="208"/>
      <c r="I366" s="208"/>
      <c r="J366" s="208"/>
      <c r="K366" s="208"/>
      <c r="L366" s="208"/>
      <c r="M366" s="208"/>
      <c r="N366" s="208"/>
      <c r="O366" s="208"/>
      <c r="P366" s="208"/>
      <c r="Q366" s="208"/>
      <c r="R366" s="208"/>
      <c r="S366" s="208"/>
      <c r="T366" s="208"/>
      <c r="U366" s="208"/>
      <c r="V366" s="208"/>
      <c r="W366" s="208"/>
      <c r="X366" s="208"/>
      <c r="Y366" s="208"/>
      <c r="Z366" s="208"/>
    </row>
    <row r="367" spans="1:26">
      <c r="A367" s="242"/>
      <c r="B367" s="242"/>
      <c r="C367" s="242"/>
      <c r="D367" s="242"/>
      <c r="E367" s="242"/>
      <c r="F367" s="242"/>
      <c r="G367" s="208"/>
      <c r="H367" s="208"/>
      <c r="I367" s="208"/>
      <c r="J367" s="208"/>
      <c r="K367" s="208"/>
      <c r="L367" s="208"/>
      <c r="M367" s="208"/>
      <c r="N367" s="208"/>
      <c r="O367" s="208"/>
      <c r="P367" s="208"/>
      <c r="Q367" s="208"/>
      <c r="R367" s="208"/>
      <c r="S367" s="208"/>
      <c r="T367" s="208"/>
      <c r="U367" s="208"/>
      <c r="V367" s="208"/>
      <c r="W367" s="208"/>
      <c r="X367" s="208"/>
      <c r="Y367" s="208"/>
      <c r="Z367" s="208"/>
    </row>
    <row r="368" spans="1:26">
      <c r="A368" s="242"/>
      <c r="B368" s="242"/>
      <c r="C368" s="242"/>
      <c r="D368" s="242"/>
      <c r="E368" s="242"/>
      <c r="F368" s="242"/>
      <c r="G368" s="208"/>
      <c r="H368" s="208"/>
      <c r="I368" s="208"/>
      <c r="J368" s="208"/>
      <c r="K368" s="208"/>
      <c r="L368" s="208"/>
      <c r="M368" s="208"/>
      <c r="N368" s="208"/>
      <c r="O368" s="208"/>
      <c r="P368" s="208"/>
      <c r="Q368" s="208"/>
      <c r="R368" s="208"/>
      <c r="S368" s="208"/>
      <c r="T368" s="208"/>
      <c r="U368" s="208"/>
      <c r="V368" s="208"/>
      <c r="W368" s="208"/>
      <c r="X368" s="208"/>
      <c r="Y368" s="208"/>
      <c r="Z368" s="208"/>
    </row>
    <row r="369" spans="1:26">
      <c r="A369" s="242"/>
      <c r="B369" s="242"/>
      <c r="C369" s="242"/>
      <c r="D369" s="242"/>
      <c r="E369" s="242"/>
      <c r="F369" s="242"/>
      <c r="G369" s="208"/>
      <c r="H369" s="208"/>
      <c r="I369" s="208"/>
      <c r="J369" s="208"/>
      <c r="K369" s="208"/>
      <c r="L369" s="208"/>
      <c r="M369" s="208"/>
      <c r="N369" s="208"/>
      <c r="O369" s="208"/>
      <c r="P369" s="208"/>
      <c r="Q369" s="208"/>
      <c r="R369" s="208"/>
      <c r="S369" s="208"/>
      <c r="T369" s="208"/>
      <c r="U369" s="208"/>
      <c r="V369" s="208"/>
      <c r="W369" s="208"/>
      <c r="X369" s="208"/>
      <c r="Y369" s="208"/>
      <c r="Z369" s="208"/>
    </row>
    <row r="370" spans="1:26">
      <c r="A370" s="242"/>
      <c r="B370" s="242"/>
      <c r="C370" s="242"/>
      <c r="D370" s="242"/>
      <c r="E370" s="242"/>
      <c r="F370" s="242"/>
      <c r="G370" s="208"/>
      <c r="H370" s="208"/>
      <c r="I370" s="208"/>
      <c r="J370" s="208"/>
      <c r="K370" s="208"/>
      <c r="L370" s="208"/>
      <c r="M370" s="208"/>
      <c r="N370" s="208"/>
      <c r="O370" s="208"/>
      <c r="P370" s="208"/>
      <c r="Q370" s="208"/>
      <c r="R370" s="208"/>
      <c r="S370" s="208"/>
      <c r="T370" s="208"/>
      <c r="U370" s="208"/>
      <c r="V370" s="208"/>
      <c r="W370" s="208"/>
      <c r="X370" s="208"/>
      <c r="Y370" s="208"/>
      <c r="Z370" s="208"/>
    </row>
    <row r="371" spans="1:26">
      <c r="A371" s="242"/>
      <c r="B371" s="242"/>
      <c r="C371" s="242"/>
      <c r="D371" s="242"/>
      <c r="E371" s="242"/>
      <c r="F371" s="242"/>
      <c r="G371" s="208"/>
      <c r="H371" s="208"/>
      <c r="I371" s="208"/>
      <c r="J371" s="208"/>
      <c r="K371" s="208"/>
      <c r="L371" s="208"/>
      <c r="M371" s="208"/>
      <c r="N371" s="208"/>
      <c r="O371" s="208"/>
      <c r="P371" s="208"/>
      <c r="Q371" s="208"/>
      <c r="R371" s="208"/>
      <c r="S371" s="208"/>
      <c r="T371" s="208"/>
      <c r="U371" s="208"/>
      <c r="V371" s="208"/>
      <c r="W371" s="208"/>
      <c r="X371" s="208"/>
      <c r="Y371" s="208"/>
      <c r="Z371" s="208"/>
    </row>
    <row r="372" spans="1:26">
      <c r="A372" s="242"/>
      <c r="B372" s="242"/>
      <c r="C372" s="242"/>
      <c r="D372" s="242"/>
      <c r="E372" s="242"/>
      <c r="F372" s="242"/>
      <c r="G372" s="208"/>
      <c r="H372" s="208"/>
      <c r="I372" s="208"/>
      <c r="J372" s="208"/>
      <c r="K372" s="208"/>
      <c r="L372" s="208"/>
      <c r="M372" s="208"/>
      <c r="N372" s="208"/>
      <c r="O372" s="208"/>
      <c r="P372" s="208"/>
      <c r="Q372" s="208"/>
      <c r="R372" s="208"/>
      <c r="S372" s="208"/>
      <c r="T372" s="208"/>
      <c r="U372" s="208"/>
      <c r="V372" s="208"/>
      <c r="W372" s="208"/>
      <c r="X372" s="208"/>
      <c r="Y372" s="208"/>
      <c r="Z372" s="208"/>
    </row>
    <row r="373" spans="1:26">
      <c r="A373" s="242"/>
      <c r="B373" s="242"/>
      <c r="C373" s="242"/>
      <c r="D373" s="242"/>
      <c r="E373" s="242"/>
      <c r="F373" s="242"/>
      <c r="G373" s="208"/>
      <c r="H373" s="208"/>
      <c r="I373" s="208"/>
      <c r="J373" s="208"/>
      <c r="K373" s="208"/>
      <c r="L373" s="208"/>
      <c r="M373" s="208"/>
      <c r="N373" s="208"/>
      <c r="O373" s="208"/>
      <c r="P373" s="208"/>
      <c r="Q373" s="208"/>
      <c r="R373" s="208"/>
      <c r="S373" s="208"/>
      <c r="T373" s="208"/>
      <c r="U373" s="208"/>
      <c r="V373" s="208"/>
      <c r="W373" s="208"/>
      <c r="X373" s="208"/>
      <c r="Y373" s="208"/>
      <c r="Z373" s="208"/>
    </row>
    <row r="374" spans="1:26">
      <c r="A374" s="242"/>
      <c r="B374" s="242"/>
      <c r="C374" s="242"/>
      <c r="D374" s="242"/>
      <c r="E374" s="242"/>
      <c r="F374" s="242"/>
      <c r="G374" s="208"/>
      <c r="H374" s="208"/>
      <c r="I374" s="208"/>
      <c r="J374" s="208"/>
      <c r="K374" s="208"/>
      <c r="L374" s="208"/>
      <c r="M374" s="208"/>
      <c r="N374" s="208"/>
      <c r="O374" s="208"/>
      <c r="P374" s="208"/>
      <c r="Q374" s="208"/>
      <c r="R374" s="208"/>
      <c r="S374" s="208"/>
      <c r="T374" s="208"/>
      <c r="U374" s="208"/>
      <c r="V374" s="208"/>
      <c r="W374" s="208"/>
      <c r="X374" s="208"/>
      <c r="Y374" s="208"/>
      <c r="Z374" s="208"/>
    </row>
    <row r="375" spans="1:26">
      <c r="A375" s="242"/>
      <c r="B375" s="242"/>
      <c r="C375" s="242"/>
      <c r="D375" s="242"/>
      <c r="E375" s="242"/>
      <c r="F375" s="242"/>
      <c r="G375" s="208"/>
      <c r="H375" s="208"/>
      <c r="I375" s="208"/>
      <c r="J375" s="208"/>
      <c r="K375" s="208"/>
      <c r="L375" s="208"/>
      <c r="M375" s="208"/>
      <c r="N375" s="208"/>
      <c r="O375" s="208"/>
      <c r="P375" s="208"/>
      <c r="Q375" s="208"/>
      <c r="R375" s="208"/>
      <c r="S375" s="208"/>
      <c r="T375" s="208"/>
      <c r="U375" s="208"/>
      <c r="V375" s="208"/>
      <c r="W375" s="208"/>
      <c r="X375" s="208"/>
      <c r="Y375" s="208"/>
      <c r="Z375" s="208"/>
    </row>
    <row r="376" spans="1:26">
      <c r="A376" s="242"/>
      <c r="B376" s="242"/>
      <c r="C376" s="242"/>
      <c r="D376" s="242"/>
      <c r="E376" s="242"/>
      <c r="F376" s="242"/>
      <c r="G376" s="208"/>
      <c r="H376" s="208"/>
      <c r="I376" s="208"/>
      <c r="J376" s="208"/>
      <c r="K376" s="208"/>
      <c r="L376" s="208"/>
      <c r="M376" s="208"/>
      <c r="N376" s="208"/>
      <c r="O376" s="208"/>
      <c r="P376" s="208"/>
      <c r="Q376" s="208"/>
      <c r="R376" s="208"/>
      <c r="S376" s="208"/>
      <c r="T376" s="208"/>
      <c r="U376" s="208"/>
      <c r="V376" s="208"/>
      <c r="W376" s="208"/>
      <c r="X376" s="208"/>
      <c r="Y376" s="208"/>
      <c r="Z376" s="208"/>
    </row>
    <row r="377" spans="1:26">
      <c r="A377" s="242"/>
      <c r="B377" s="242"/>
      <c r="C377" s="242"/>
      <c r="D377" s="242"/>
      <c r="E377" s="242"/>
      <c r="F377" s="242"/>
      <c r="G377" s="208"/>
      <c r="H377" s="208"/>
      <c r="I377" s="208"/>
      <c r="J377" s="208"/>
      <c r="K377" s="208"/>
      <c r="L377" s="208"/>
      <c r="M377" s="208"/>
      <c r="N377" s="208"/>
      <c r="O377" s="208"/>
      <c r="P377" s="208"/>
      <c r="Q377" s="208"/>
      <c r="R377" s="208"/>
      <c r="S377" s="208"/>
      <c r="T377" s="208"/>
      <c r="U377" s="208"/>
      <c r="V377" s="208"/>
      <c r="W377" s="208"/>
      <c r="X377" s="208"/>
      <c r="Y377" s="208"/>
      <c r="Z377" s="208"/>
    </row>
    <row r="378" spans="1:26">
      <c r="A378" s="242"/>
      <c r="B378" s="242"/>
      <c r="C378" s="242"/>
      <c r="D378" s="242"/>
      <c r="E378" s="242"/>
      <c r="F378" s="242"/>
      <c r="G378" s="208"/>
      <c r="H378" s="208"/>
      <c r="I378" s="208"/>
      <c r="J378" s="208"/>
      <c r="K378" s="208"/>
      <c r="L378" s="208"/>
      <c r="M378" s="208"/>
      <c r="N378" s="208"/>
      <c r="O378" s="208"/>
      <c r="P378" s="208"/>
      <c r="Q378" s="208"/>
      <c r="R378" s="208"/>
      <c r="S378" s="208"/>
      <c r="T378" s="208"/>
      <c r="U378" s="208"/>
      <c r="V378" s="208"/>
      <c r="W378" s="208"/>
      <c r="X378" s="208"/>
      <c r="Y378" s="208"/>
      <c r="Z378" s="208"/>
    </row>
    <row r="379" spans="1:26">
      <c r="A379" s="242"/>
      <c r="B379" s="242"/>
      <c r="C379" s="242"/>
      <c r="D379" s="242"/>
      <c r="E379" s="242"/>
      <c r="F379" s="242"/>
      <c r="G379" s="208"/>
      <c r="H379" s="208"/>
      <c r="I379" s="208"/>
      <c r="J379" s="208"/>
      <c r="K379" s="208"/>
      <c r="L379" s="208"/>
      <c r="M379" s="208"/>
      <c r="N379" s="208"/>
      <c r="O379" s="208"/>
      <c r="P379" s="208"/>
      <c r="Q379" s="208"/>
      <c r="R379" s="208"/>
      <c r="S379" s="208"/>
      <c r="T379" s="208"/>
      <c r="U379" s="208"/>
      <c r="V379" s="208"/>
      <c r="W379" s="208"/>
      <c r="X379" s="208"/>
      <c r="Y379" s="208"/>
      <c r="Z379" s="208"/>
    </row>
    <row r="380" spans="1:26">
      <c r="A380" s="242"/>
      <c r="B380" s="242"/>
      <c r="C380" s="242"/>
      <c r="D380" s="242"/>
      <c r="E380" s="242"/>
      <c r="F380" s="242"/>
      <c r="G380" s="208"/>
      <c r="H380" s="208"/>
      <c r="I380" s="208"/>
      <c r="J380" s="208"/>
      <c r="K380" s="208"/>
      <c r="L380" s="208"/>
      <c r="M380" s="208"/>
      <c r="N380" s="208"/>
      <c r="O380" s="208"/>
      <c r="P380" s="208"/>
      <c r="Q380" s="208"/>
      <c r="R380" s="208"/>
      <c r="S380" s="208"/>
      <c r="T380" s="208"/>
      <c r="U380" s="208"/>
      <c r="V380" s="208"/>
      <c r="W380" s="208"/>
      <c r="X380" s="208"/>
      <c r="Y380" s="208"/>
      <c r="Z380" s="208"/>
    </row>
    <row r="381" spans="1:26">
      <c r="A381" s="242"/>
      <c r="B381" s="242"/>
      <c r="C381" s="242"/>
      <c r="D381" s="242"/>
      <c r="E381" s="242"/>
      <c r="F381" s="242"/>
      <c r="G381" s="208"/>
      <c r="H381" s="208"/>
      <c r="I381" s="208"/>
      <c r="J381" s="208"/>
      <c r="K381" s="208"/>
      <c r="L381" s="208"/>
      <c r="M381" s="208"/>
      <c r="N381" s="208"/>
      <c r="O381" s="208"/>
      <c r="P381" s="208"/>
      <c r="Q381" s="208"/>
      <c r="R381" s="208"/>
      <c r="S381" s="208"/>
      <c r="T381" s="208"/>
      <c r="U381" s="208"/>
      <c r="V381" s="208"/>
      <c r="W381" s="208"/>
      <c r="X381" s="208"/>
      <c r="Y381" s="208"/>
      <c r="Z381" s="208"/>
    </row>
    <row r="382" spans="1:26">
      <c r="A382" s="242"/>
      <c r="B382" s="242"/>
      <c r="C382" s="242"/>
      <c r="D382" s="242"/>
      <c r="E382" s="242"/>
      <c r="F382" s="242"/>
      <c r="G382" s="208"/>
      <c r="H382" s="208"/>
      <c r="I382" s="208"/>
      <c r="J382" s="208"/>
      <c r="K382" s="208"/>
      <c r="L382" s="208"/>
      <c r="M382" s="208"/>
      <c r="N382" s="208"/>
      <c r="O382" s="208"/>
      <c r="P382" s="208"/>
      <c r="Q382" s="208"/>
      <c r="R382" s="208"/>
      <c r="S382" s="208"/>
      <c r="T382" s="208"/>
      <c r="U382" s="208"/>
      <c r="V382" s="208"/>
      <c r="W382" s="208"/>
      <c r="X382" s="208"/>
      <c r="Y382" s="208"/>
      <c r="Z382" s="208"/>
    </row>
    <row r="383" spans="1:26">
      <c r="A383" s="242"/>
      <c r="B383" s="242"/>
      <c r="C383" s="242"/>
      <c r="D383" s="242"/>
      <c r="E383" s="242"/>
      <c r="F383" s="242"/>
      <c r="G383" s="208"/>
      <c r="H383" s="208"/>
      <c r="I383" s="208"/>
      <c r="J383" s="208"/>
      <c r="K383" s="208"/>
      <c r="L383" s="208"/>
      <c r="M383" s="208"/>
      <c r="N383" s="208"/>
      <c r="O383" s="208"/>
      <c r="P383" s="208"/>
      <c r="Q383" s="208"/>
      <c r="R383" s="208"/>
      <c r="S383" s="208"/>
      <c r="T383" s="208"/>
      <c r="U383" s="208"/>
      <c r="V383" s="208"/>
      <c r="W383" s="208"/>
      <c r="X383" s="208"/>
      <c r="Y383" s="208"/>
      <c r="Z383" s="208"/>
    </row>
    <row r="384" spans="1:26">
      <c r="A384" s="242"/>
      <c r="B384" s="242"/>
      <c r="C384" s="242"/>
      <c r="D384" s="242"/>
      <c r="E384" s="242"/>
      <c r="F384" s="242"/>
      <c r="G384" s="208"/>
      <c r="H384" s="208"/>
      <c r="I384" s="208"/>
      <c r="J384" s="208"/>
      <c r="K384" s="208"/>
      <c r="L384" s="208"/>
      <c r="M384" s="208"/>
      <c r="N384" s="208"/>
      <c r="O384" s="208"/>
      <c r="P384" s="208"/>
      <c r="Q384" s="208"/>
      <c r="R384" s="208"/>
      <c r="S384" s="208"/>
      <c r="T384" s="208"/>
      <c r="U384" s="208"/>
      <c r="V384" s="208"/>
      <c r="W384" s="208"/>
      <c r="X384" s="208"/>
      <c r="Y384" s="208"/>
      <c r="Z384" s="208"/>
    </row>
    <row r="385" spans="1:26">
      <c r="A385" s="242"/>
      <c r="B385" s="242"/>
      <c r="C385" s="242"/>
      <c r="D385" s="242"/>
      <c r="E385" s="242"/>
      <c r="F385" s="242"/>
      <c r="G385" s="208"/>
      <c r="H385" s="208"/>
      <c r="I385" s="208"/>
      <c r="J385" s="208"/>
      <c r="K385" s="208"/>
      <c r="L385" s="208"/>
      <c r="M385" s="208"/>
      <c r="N385" s="208"/>
      <c r="O385" s="208"/>
      <c r="P385" s="208"/>
      <c r="Q385" s="208"/>
      <c r="R385" s="208"/>
      <c r="S385" s="208"/>
      <c r="T385" s="208"/>
      <c r="U385" s="208"/>
      <c r="V385" s="208"/>
      <c r="W385" s="208"/>
      <c r="X385" s="208"/>
      <c r="Y385" s="208"/>
      <c r="Z385" s="208"/>
    </row>
    <row r="386" spans="1:26">
      <c r="A386" s="242"/>
      <c r="B386" s="242"/>
      <c r="C386" s="242"/>
      <c r="D386" s="242"/>
      <c r="E386" s="242"/>
      <c r="F386" s="242"/>
      <c r="G386" s="208"/>
      <c r="H386" s="208"/>
      <c r="I386" s="208"/>
      <c r="J386" s="208"/>
      <c r="K386" s="208"/>
      <c r="L386" s="208"/>
      <c r="M386" s="208"/>
      <c r="N386" s="208"/>
      <c r="O386" s="208"/>
      <c r="P386" s="208"/>
      <c r="Q386" s="208"/>
      <c r="R386" s="208"/>
      <c r="S386" s="208"/>
      <c r="T386" s="208"/>
      <c r="U386" s="208"/>
      <c r="V386" s="208"/>
      <c r="W386" s="208"/>
      <c r="X386" s="208"/>
      <c r="Y386" s="208"/>
      <c r="Z386" s="208"/>
    </row>
    <row r="387" spans="1:26">
      <c r="A387" s="242"/>
      <c r="B387" s="242"/>
      <c r="C387" s="242"/>
      <c r="D387" s="242"/>
      <c r="E387" s="242"/>
      <c r="F387" s="242"/>
      <c r="G387" s="208"/>
      <c r="H387" s="208"/>
      <c r="I387" s="208"/>
      <c r="J387" s="208"/>
      <c r="K387" s="208"/>
      <c r="L387" s="208"/>
      <c r="M387" s="208"/>
      <c r="N387" s="208"/>
      <c r="O387" s="208"/>
      <c r="P387" s="208"/>
      <c r="Q387" s="208"/>
      <c r="R387" s="208"/>
      <c r="S387" s="208"/>
      <c r="T387" s="208"/>
      <c r="U387" s="208"/>
      <c r="V387" s="208"/>
      <c r="W387" s="208"/>
      <c r="X387" s="208"/>
      <c r="Y387" s="208"/>
      <c r="Z387" s="208"/>
    </row>
    <row r="388" spans="1:26">
      <c r="A388" s="242"/>
      <c r="B388" s="242"/>
      <c r="C388" s="242"/>
      <c r="D388" s="242"/>
      <c r="E388" s="242"/>
      <c r="F388" s="242"/>
      <c r="G388" s="208"/>
      <c r="H388" s="208"/>
      <c r="I388" s="208"/>
      <c r="J388" s="208"/>
      <c r="K388" s="208"/>
      <c r="L388" s="208"/>
      <c r="M388" s="208"/>
      <c r="N388" s="208"/>
      <c r="O388" s="208"/>
      <c r="P388" s="208"/>
      <c r="Q388" s="208"/>
      <c r="R388" s="208"/>
      <c r="S388" s="208"/>
      <c r="T388" s="208"/>
      <c r="U388" s="208"/>
      <c r="V388" s="208"/>
      <c r="W388" s="208"/>
      <c r="X388" s="208"/>
      <c r="Y388" s="208"/>
      <c r="Z388" s="208"/>
    </row>
    <row r="389" spans="1:26">
      <c r="A389" s="242"/>
      <c r="B389" s="242"/>
      <c r="C389" s="242"/>
      <c r="D389" s="242"/>
      <c r="E389" s="242"/>
      <c r="F389" s="242"/>
      <c r="G389" s="208"/>
      <c r="H389" s="208"/>
      <c r="I389" s="208"/>
      <c r="J389" s="208"/>
      <c r="K389" s="208"/>
      <c r="L389" s="208"/>
      <c r="M389" s="208"/>
      <c r="N389" s="208"/>
      <c r="O389" s="208"/>
      <c r="P389" s="208"/>
      <c r="Q389" s="208"/>
      <c r="R389" s="208"/>
      <c r="S389" s="208"/>
      <c r="T389" s="208"/>
      <c r="U389" s="208"/>
      <c r="V389" s="208"/>
      <c r="W389" s="208"/>
      <c r="X389" s="208"/>
      <c r="Y389" s="208"/>
      <c r="Z389" s="208"/>
    </row>
    <row r="390" spans="1:26">
      <c r="A390" s="242"/>
      <c r="B390" s="242"/>
      <c r="C390" s="242"/>
      <c r="D390" s="242"/>
      <c r="E390" s="242"/>
      <c r="F390" s="242"/>
      <c r="G390" s="208"/>
      <c r="H390" s="208"/>
      <c r="I390" s="208"/>
      <c r="J390" s="208"/>
      <c r="K390" s="208"/>
      <c r="L390" s="208"/>
      <c r="M390" s="208"/>
      <c r="N390" s="208"/>
      <c r="O390" s="208"/>
      <c r="P390" s="208"/>
      <c r="Q390" s="208"/>
      <c r="R390" s="208"/>
      <c r="S390" s="208"/>
      <c r="T390" s="208"/>
      <c r="U390" s="208"/>
      <c r="V390" s="208"/>
      <c r="W390" s="208"/>
      <c r="X390" s="208"/>
      <c r="Y390" s="208"/>
      <c r="Z390" s="208"/>
    </row>
    <row r="391" spans="1:26">
      <c r="A391" s="242"/>
      <c r="B391" s="242"/>
      <c r="C391" s="242"/>
      <c r="D391" s="242"/>
      <c r="E391" s="242"/>
      <c r="F391" s="242"/>
      <c r="G391" s="208"/>
      <c r="H391" s="208"/>
      <c r="I391" s="208"/>
      <c r="J391" s="208"/>
      <c r="K391" s="208"/>
      <c r="L391" s="208"/>
      <c r="M391" s="208"/>
      <c r="N391" s="208"/>
      <c r="O391" s="208"/>
      <c r="P391" s="208"/>
      <c r="Q391" s="208"/>
      <c r="R391" s="208"/>
      <c r="S391" s="208"/>
      <c r="T391" s="208"/>
      <c r="U391" s="208"/>
      <c r="V391" s="208"/>
      <c r="W391" s="208"/>
      <c r="X391" s="208"/>
      <c r="Y391" s="208"/>
      <c r="Z391" s="208"/>
    </row>
    <row r="392" spans="1:26">
      <c r="A392" s="242"/>
      <c r="B392" s="242"/>
      <c r="C392" s="242"/>
      <c r="D392" s="242"/>
      <c r="E392" s="242"/>
      <c r="F392" s="242"/>
      <c r="G392" s="208"/>
      <c r="H392" s="208"/>
      <c r="I392" s="208"/>
      <c r="J392" s="208"/>
      <c r="K392" s="208"/>
      <c r="L392" s="208"/>
      <c r="M392" s="208"/>
      <c r="N392" s="208"/>
      <c r="O392" s="208"/>
      <c r="P392" s="208"/>
      <c r="Q392" s="208"/>
      <c r="R392" s="208"/>
      <c r="S392" s="208"/>
      <c r="T392" s="208"/>
      <c r="U392" s="208"/>
      <c r="V392" s="208"/>
      <c r="W392" s="208"/>
      <c r="X392" s="208"/>
      <c r="Y392" s="208"/>
      <c r="Z392" s="208"/>
    </row>
    <row r="393" spans="1:26">
      <c r="A393" s="242"/>
      <c r="B393" s="242"/>
      <c r="C393" s="242"/>
      <c r="D393" s="242"/>
      <c r="E393" s="242"/>
      <c r="F393" s="242"/>
      <c r="G393" s="208"/>
      <c r="H393" s="208"/>
      <c r="I393" s="208"/>
      <c r="J393" s="208"/>
      <c r="K393" s="208"/>
      <c r="L393" s="208"/>
      <c r="M393" s="208"/>
      <c r="N393" s="208"/>
      <c r="O393" s="208"/>
      <c r="P393" s="208"/>
      <c r="Q393" s="208"/>
      <c r="R393" s="208"/>
      <c r="S393" s="208"/>
      <c r="T393" s="208"/>
      <c r="U393" s="208"/>
      <c r="V393" s="208"/>
      <c r="W393" s="208"/>
      <c r="X393" s="208"/>
      <c r="Y393" s="208"/>
      <c r="Z393" s="208"/>
    </row>
    <row r="394" spans="1:26">
      <c r="A394" s="242"/>
      <c r="B394" s="242"/>
      <c r="C394" s="242"/>
      <c r="D394" s="242"/>
      <c r="E394" s="242"/>
      <c r="F394" s="242"/>
      <c r="G394" s="208"/>
      <c r="H394" s="208"/>
      <c r="I394" s="208"/>
      <c r="J394" s="208"/>
      <c r="K394" s="208"/>
      <c r="L394" s="208"/>
      <c r="M394" s="208"/>
      <c r="N394" s="208"/>
      <c r="O394" s="208"/>
      <c r="P394" s="208"/>
      <c r="Q394" s="208"/>
      <c r="R394" s="208"/>
      <c r="S394" s="208"/>
      <c r="T394" s="208"/>
      <c r="U394" s="208"/>
      <c r="V394" s="208"/>
      <c r="W394" s="208"/>
      <c r="X394" s="208"/>
      <c r="Y394" s="208"/>
      <c r="Z394" s="208"/>
    </row>
    <row r="395" spans="1:26">
      <c r="A395" s="242"/>
      <c r="B395" s="242"/>
      <c r="C395" s="242"/>
      <c r="D395" s="242"/>
      <c r="E395" s="242"/>
      <c r="F395" s="242"/>
      <c r="G395" s="208"/>
      <c r="H395" s="208"/>
      <c r="I395" s="208"/>
      <c r="J395" s="208"/>
      <c r="K395" s="208"/>
      <c r="L395" s="208"/>
      <c r="M395" s="208"/>
      <c r="N395" s="208"/>
      <c r="O395" s="208"/>
      <c r="P395" s="208"/>
      <c r="Q395" s="208"/>
      <c r="R395" s="208"/>
      <c r="S395" s="208"/>
      <c r="T395" s="208"/>
      <c r="U395" s="208"/>
      <c r="V395" s="208"/>
      <c r="W395" s="208"/>
      <c r="X395" s="208"/>
      <c r="Y395" s="208"/>
      <c r="Z395" s="208"/>
    </row>
    <row r="396" spans="1:26">
      <c r="A396" s="242"/>
      <c r="B396" s="242"/>
      <c r="C396" s="242"/>
      <c r="D396" s="242"/>
      <c r="E396" s="242"/>
      <c r="F396" s="242"/>
      <c r="G396" s="208"/>
      <c r="H396" s="208"/>
      <c r="I396" s="208"/>
      <c r="J396" s="208"/>
      <c r="K396" s="208"/>
      <c r="L396" s="208"/>
      <c r="M396" s="208"/>
      <c r="N396" s="208"/>
      <c r="O396" s="208"/>
      <c r="P396" s="208"/>
      <c r="Q396" s="208"/>
      <c r="R396" s="208"/>
      <c r="S396" s="208"/>
      <c r="T396" s="208"/>
      <c r="U396" s="208"/>
      <c r="V396" s="208"/>
      <c r="W396" s="208"/>
      <c r="X396" s="208"/>
      <c r="Y396" s="208"/>
      <c r="Z396" s="208"/>
    </row>
    <row r="397" spans="1:26">
      <c r="A397" s="242"/>
      <c r="B397" s="242"/>
      <c r="C397" s="242"/>
      <c r="D397" s="242"/>
      <c r="E397" s="242"/>
      <c r="F397" s="242"/>
      <c r="G397" s="208"/>
      <c r="H397" s="208"/>
      <c r="I397" s="208"/>
      <c r="J397" s="208"/>
      <c r="K397" s="208"/>
      <c r="L397" s="208"/>
      <c r="M397" s="208"/>
      <c r="N397" s="208"/>
      <c r="O397" s="208"/>
      <c r="P397" s="208"/>
      <c r="Q397" s="208"/>
      <c r="R397" s="208"/>
      <c r="S397" s="208"/>
      <c r="T397" s="208"/>
      <c r="U397" s="208"/>
      <c r="V397" s="208"/>
      <c r="W397" s="208"/>
      <c r="X397" s="208"/>
      <c r="Y397" s="208"/>
      <c r="Z397" s="208"/>
    </row>
    <row r="398" spans="1:26">
      <c r="A398" s="242"/>
      <c r="B398" s="242"/>
      <c r="C398" s="242"/>
      <c r="D398" s="242"/>
      <c r="E398" s="242"/>
      <c r="F398" s="242"/>
      <c r="G398" s="208"/>
      <c r="H398" s="208"/>
      <c r="I398" s="208"/>
      <c r="J398" s="208"/>
      <c r="K398" s="208"/>
      <c r="L398" s="208"/>
      <c r="M398" s="208"/>
      <c r="N398" s="208"/>
      <c r="O398" s="208"/>
      <c r="P398" s="208"/>
      <c r="Q398" s="208"/>
      <c r="R398" s="208"/>
      <c r="S398" s="208"/>
      <c r="T398" s="208"/>
      <c r="U398" s="208"/>
      <c r="V398" s="208"/>
      <c r="W398" s="208"/>
      <c r="X398" s="208"/>
      <c r="Y398" s="208"/>
      <c r="Z398" s="208"/>
    </row>
    <row r="399" spans="1:26">
      <c r="A399" s="242"/>
      <c r="B399" s="242"/>
      <c r="C399" s="242"/>
      <c r="D399" s="242"/>
      <c r="E399" s="242"/>
      <c r="F399" s="242"/>
      <c r="G399" s="208"/>
      <c r="H399" s="208"/>
      <c r="I399" s="208"/>
      <c r="J399" s="208"/>
      <c r="K399" s="208"/>
      <c r="L399" s="208"/>
      <c r="M399" s="208"/>
      <c r="N399" s="208"/>
      <c r="O399" s="208"/>
      <c r="P399" s="208"/>
      <c r="Q399" s="208"/>
      <c r="R399" s="208"/>
      <c r="S399" s="208"/>
      <c r="T399" s="208"/>
      <c r="U399" s="208"/>
      <c r="V399" s="208"/>
      <c r="W399" s="208"/>
      <c r="X399" s="208"/>
      <c r="Y399" s="208"/>
      <c r="Z399" s="208"/>
    </row>
    <row r="400" spans="1:26">
      <c r="A400" s="242"/>
      <c r="B400" s="242"/>
      <c r="C400" s="242"/>
      <c r="D400" s="242"/>
      <c r="E400" s="242"/>
      <c r="F400" s="242"/>
      <c r="G400" s="208"/>
      <c r="H400" s="208"/>
      <c r="I400" s="208"/>
      <c r="J400" s="208"/>
      <c r="K400" s="208"/>
      <c r="L400" s="208"/>
      <c r="M400" s="208"/>
      <c r="N400" s="208"/>
      <c r="O400" s="208"/>
      <c r="P400" s="208"/>
      <c r="Q400" s="208"/>
      <c r="R400" s="208"/>
      <c r="S400" s="208"/>
      <c r="T400" s="208"/>
      <c r="U400" s="208"/>
      <c r="V400" s="208"/>
      <c r="W400" s="208"/>
      <c r="X400" s="208"/>
      <c r="Y400" s="208"/>
      <c r="Z400" s="208"/>
    </row>
    <row r="401" spans="1:26">
      <c r="A401" s="242"/>
      <c r="B401" s="242"/>
      <c r="C401" s="242"/>
      <c r="D401" s="242"/>
      <c r="E401" s="242"/>
      <c r="F401" s="242"/>
      <c r="G401" s="208"/>
      <c r="H401" s="208"/>
      <c r="I401" s="208"/>
      <c r="J401" s="208"/>
      <c r="K401" s="208"/>
      <c r="L401" s="208"/>
      <c r="M401" s="208"/>
      <c r="N401" s="208"/>
      <c r="O401" s="208"/>
      <c r="P401" s="208"/>
      <c r="Q401" s="208"/>
      <c r="R401" s="208"/>
      <c r="S401" s="208"/>
      <c r="T401" s="208"/>
      <c r="U401" s="208"/>
      <c r="V401" s="208"/>
      <c r="W401" s="208"/>
      <c r="X401" s="208"/>
      <c r="Y401" s="208"/>
      <c r="Z401" s="208"/>
    </row>
    <row r="402" spans="1:26">
      <c r="A402" s="242"/>
      <c r="B402" s="242"/>
      <c r="C402" s="242"/>
      <c r="D402" s="242"/>
      <c r="E402" s="242"/>
      <c r="F402" s="242"/>
      <c r="G402" s="208"/>
      <c r="H402" s="208"/>
      <c r="I402" s="208"/>
      <c r="J402" s="208"/>
      <c r="K402" s="208"/>
      <c r="L402" s="208"/>
      <c r="M402" s="208"/>
      <c r="N402" s="208"/>
      <c r="O402" s="208"/>
      <c r="P402" s="208"/>
      <c r="Q402" s="208"/>
      <c r="R402" s="208"/>
      <c r="S402" s="208"/>
      <c r="T402" s="208"/>
      <c r="U402" s="208"/>
      <c r="V402" s="208"/>
      <c r="W402" s="208"/>
      <c r="X402" s="208"/>
      <c r="Y402" s="208"/>
      <c r="Z402" s="208"/>
    </row>
    <row r="403" spans="1:26">
      <c r="A403" s="242"/>
      <c r="B403" s="242"/>
      <c r="C403" s="242"/>
      <c r="D403" s="242"/>
      <c r="E403" s="242"/>
      <c r="F403" s="242"/>
      <c r="G403" s="208"/>
      <c r="H403" s="208"/>
      <c r="I403" s="208"/>
      <c r="J403" s="208"/>
      <c r="K403" s="208"/>
      <c r="L403" s="208"/>
      <c r="M403" s="208"/>
      <c r="N403" s="208"/>
      <c r="O403" s="208"/>
      <c r="P403" s="208"/>
      <c r="Q403" s="208"/>
      <c r="R403" s="208"/>
      <c r="S403" s="208"/>
      <c r="T403" s="208"/>
      <c r="U403" s="208"/>
      <c r="V403" s="208"/>
      <c r="W403" s="208"/>
      <c r="X403" s="208"/>
      <c r="Y403" s="208"/>
      <c r="Z403" s="208"/>
    </row>
    <row r="404" spans="1:26">
      <c r="A404" s="242"/>
      <c r="B404" s="242"/>
      <c r="C404" s="242"/>
      <c r="D404" s="242"/>
      <c r="E404" s="242"/>
      <c r="F404" s="242"/>
      <c r="G404" s="208"/>
      <c r="H404" s="208"/>
      <c r="I404" s="208"/>
      <c r="J404" s="208"/>
      <c r="K404" s="208"/>
      <c r="L404" s="208"/>
      <c r="M404" s="208"/>
      <c r="N404" s="208"/>
      <c r="O404" s="208"/>
      <c r="P404" s="208"/>
      <c r="Q404" s="208"/>
      <c r="R404" s="208"/>
      <c r="S404" s="208"/>
      <c r="T404" s="208"/>
      <c r="U404" s="208"/>
      <c r="V404" s="208"/>
      <c r="W404" s="208"/>
      <c r="X404" s="208"/>
      <c r="Y404" s="208"/>
      <c r="Z404" s="208"/>
    </row>
    <row r="405" spans="1:26">
      <c r="A405" s="242"/>
      <c r="B405" s="242"/>
      <c r="C405" s="242"/>
      <c r="D405" s="242"/>
      <c r="E405" s="242"/>
      <c r="F405" s="242"/>
      <c r="G405" s="208"/>
      <c r="H405" s="208"/>
      <c r="I405" s="208"/>
      <c r="J405" s="208"/>
      <c r="K405" s="208"/>
      <c r="L405" s="208"/>
      <c r="M405" s="208"/>
      <c r="N405" s="208"/>
      <c r="O405" s="208"/>
      <c r="P405" s="208"/>
      <c r="Q405" s="208"/>
      <c r="R405" s="208"/>
      <c r="S405" s="208"/>
      <c r="T405" s="208"/>
      <c r="U405" s="208"/>
      <c r="V405" s="208"/>
      <c r="W405" s="208"/>
      <c r="X405" s="208"/>
      <c r="Y405" s="208"/>
      <c r="Z405" s="208"/>
    </row>
    <row r="406" spans="1:26">
      <c r="A406" s="242"/>
      <c r="B406" s="242"/>
      <c r="C406" s="242"/>
      <c r="D406" s="242"/>
      <c r="E406" s="242"/>
      <c r="F406" s="242"/>
      <c r="G406" s="208"/>
      <c r="H406" s="208"/>
      <c r="I406" s="208"/>
      <c r="J406" s="208"/>
      <c r="K406" s="208"/>
      <c r="L406" s="208"/>
      <c r="M406" s="208"/>
      <c r="N406" s="208"/>
      <c r="O406" s="208"/>
      <c r="P406" s="208"/>
      <c r="Q406" s="208"/>
      <c r="R406" s="208"/>
      <c r="S406" s="208"/>
      <c r="T406" s="208"/>
      <c r="U406" s="208"/>
      <c r="V406" s="208"/>
      <c r="W406" s="208"/>
      <c r="X406" s="208"/>
      <c r="Y406" s="208"/>
      <c r="Z406" s="208"/>
    </row>
    <row r="407" spans="1:26">
      <c r="A407" s="242"/>
      <c r="B407" s="242"/>
      <c r="C407" s="242"/>
      <c r="D407" s="242"/>
      <c r="E407" s="242"/>
      <c r="F407" s="242"/>
      <c r="G407" s="208"/>
      <c r="H407" s="208"/>
      <c r="I407" s="208"/>
      <c r="J407" s="208"/>
      <c r="K407" s="208"/>
      <c r="L407" s="208"/>
      <c r="M407" s="208"/>
      <c r="N407" s="208"/>
      <c r="O407" s="208"/>
      <c r="P407" s="208"/>
      <c r="Q407" s="208"/>
      <c r="R407" s="208"/>
      <c r="S407" s="208"/>
      <c r="T407" s="208"/>
      <c r="U407" s="208"/>
      <c r="V407" s="208"/>
      <c r="W407" s="208"/>
      <c r="X407" s="208"/>
      <c r="Y407" s="208"/>
      <c r="Z407" s="208"/>
    </row>
    <row r="408" spans="1:26">
      <c r="A408" s="242"/>
      <c r="B408" s="242"/>
      <c r="C408" s="242"/>
      <c r="D408" s="242"/>
      <c r="E408" s="242"/>
      <c r="F408" s="242"/>
      <c r="G408" s="208"/>
      <c r="H408" s="208"/>
      <c r="I408" s="208"/>
      <c r="J408" s="208"/>
      <c r="K408" s="208"/>
      <c r="L408" s="208"/>
      <c r="M408" s="208"/>
      <c r="N408" s="208"/>
      <c r="O408" s="208"/>
      <c r="P408" s="208"/>
      <c r="Q408" s="208"/>
      <c r="R408" s="208"/>
      <c r="S408" s="208"/>
      <c r="T408" s="208"/>
      <c r="U408" s="208"/>
      <c r="V408" s="208"/>
      <c r="W408" s="208"/>
      <c r="X408" s="208"/>
      <c r="Y408" s="208"/>
      <c r="Z408" s="208"/>
    </row>
    <row r="409" spans="1:26">
      <c r="A409" s="242"/>
      <c r="B409" s="242"/>
      <c r="C409" s="242"/>
      <c r="D409" s="242"/>
      <c r="E409" s="242"/>
      <c r="F409" s="242"/>
      <c r="G409" s="208"/>
      <c r="H409" s="208"/>
      <c r="I409" s="208"/>
      <c r="J409" s="208"/>
      <c r="K409" s="208"/>
      <c r="L409" s="208"/>
      <c r="M409" s="208"/>
      <c r="N409" s="208"/>
      <c r="O409" s="208"/>
      <c r="P409" s="208"/>
      <c r="Q409" s="208"/>
      <c r="R409" s="208"/>
      <c r="S409" s="208"/>
      <c r="T409" s="208"/>
      <c r="U409" s="208"/>
      <c r="V409" s="208"/>
      <c r="W409" s="208"/>
      <c r="X409" s="208"/>
      <c r="Y409" s="208"/>
      <c r="Z409" s="208"/>
    </row>
    <row r="410" spans="1:26">
      <c r="A410" s="242"/>
      <c r="B410" s="242"/>
      <c r="C410" s="242"/>
      <c r="D410" s="242"/>
      <c r="E410" s="242"/>
      <c r="F410" s="242"/>
      <c r="G410" s="208"/>
      <c r="H410" s="208"/>
      <c r="I410" s="208"/>
      <c r="J410" s="208"/>
      <c r="K410" s="208"/>
      <c r="L410" s="208"/>
      <c r="M410" s="208"/>
      <c r="N410" s="208"/>
      <c r="O410" s="208"/>
      <c r="P410" s="208"/>
      <c r="Q410" s="208"/>
      <c r="R410" s="208"/>
      <c r="S410" s="208"/>
      <c r="T410" s="208"/>
      <c r="U410" s="208"/>
      <c r="V410" s="208"/>
      <c r="W410" s="208"/>
      <c r="X410" s="208"/>
      <c r="Y410" s="208"/>
      <c r="Z410" s="208"/>
    </row>
    <row r="411" spans="1:26">
      <c r="A411" s="242"/>
      <c r="B411" s="242"/>
      <c r="C411" s="242"/>
      <c r="D411" s="242"/>
      <c r="E411" s="242"/>
      <c r="F411" s="242"/>
      <c r="G411" s="208"/>
      <c r="H411" s="208"/>
      <c r="I411" s="208"/>
      <c r="J411" s="208"/>
      <c r="K411" s="208"/>
      <c r="L411" s="208"/>
      <c r="M411" s="208"/>
      <c r="N411" s="208"/>
      <c r="O411" s="208"/>
      <c r="P411" s="208"/>
      <c r="Q411" s="208"/>
      <c r="R411" s="208"/>
      <c r="S411" s="208"/>
      <c r="T411" s="208"/>
      <c r="U411" s="208"/>
      <c r="V411" s="208"/>
      <c r="W411" s="208"/>
      <c r="X411" s="208"/>
      <c r="Y411" s="208"/>
      <c r="Z411" s="208"/>
    </row>
    <row r="412" spans="1:26">
      <c r="A412" s="242"/>
      <c r="B412" s="242"/>
      <c r="C412" s="242"/>
      <c r="D412" s="242"/>
      <c r="E412" s="242"/>
      <c r="F412" s="242"/>
      <c r="G412" s="208"/>
      <c r="H412" s="208"/>
      <c r="I412" s="208"/>
      <c r="J412" s="208"/>
      <c r="K412" s="208"/>
      <c r="L412" s="208"/>
      <c r="M412" s="208"/>
      <c r="N412" s="208"/>
      <c r="O412" s="208"/>
      <c r="P412" s="208"/>
      <c r="Q412" s="208"/>
      <c r="R412" s="208"/>
      <c r="S412" s="208"/>
      <c r="T412" s="208"/>
      <c r="U412" s="208"/>
      <c r="V412" s="208"/>
      <c r="W412" s="208"/>
      <c r="X412" s="208"/>
      <c r="Y412" s="208"/>
      <c r="Z412" s="208"/>
    </row>
    <row r="413" spans="1:26">
      <c r="A413" s="242"/>
      <c r="B413" s="242"/>
      <c r="C413" s="242"/>
      <c r="D413" s="242"/>
      <c r="E413" s="242"/>
      <c r="F413" s="242"/>
      <c r="G413" s="208"/>
      <c r="H413" s="208"/>
      <c r="I413" s="208"/>
      <c r="J413" s="208"/>
      <c r="K413" s="208"/>
      <c r="L413" s="208"/>
      <c r="M413" s="208"/>
      <c r="N413" s="208"/>
      <c r="O413" s="208"/>
      <c r="P413" s="208"/>
      <c r="Q413" s="208"/>
      <c r="R413" s="208"/>
      <c r="S413" s="208"/>
      <c r="T413" s="208"/>
      <c r="U413" s="208"/>
      <c r="V413" s="208"/>
      <c r="W413" s="208"/>
      <c r="X413" s="208"/>
      <c r="Y413" s="208"/>
      <c r="Z413" s="208"/>
    </row>
    <row r="414" spans="1:26">
      <c r="A414" s="242"/>
      <c r="B414" s="242"/>
      <c r="C414" s="242"/>
      <c r="D414" s="242"/>
      <c r="E414" s="242"/>
      <c r="F414" s="242"/>
      <c r="G414" s="208"/>
      <c r="H414" s="208"/>
      <c r="I414" s="208"/>
      <c r="J414" s="208"/>
      <c r="K414" s="208"/>
      <c r="L414" s="208"/>
      <c r="M414" s="208"/>
      <c r="N414" s="208"/>
      <c r="O414" s="208"/>
      <c r="P414" s="208"/>
      <c r="Q414" s="208"/>
      <c r="R414" s="208"/>
      <c r="S414" s="208"/>
      <c r="T414" s="208"/>
      <c r="U414" s="208"/>
      <c r="V414" s="208"/>
      <c r="W414" s="208"/>
      <c r="X414" s="208"/>
      <c r="Y414" s="208"/>
      <c r="Z414" s="208"/>
    </row>
    <row r="415" spans="1:26">
      <c r="A415" s="242"/>
      <c r="B415" s="242"/>
      <c r="C415" s="242"/>
      <c r="D415" s="242"/>
      <c r="E415" s="242"/>
      <c r="F415" s="242"/>
      <c r="G415" s="208"/>
      <c r="H415" s="208"/>
      <c r="I415" s="208"/>
      <c r="J415" s="208"/>
      <c r="K415" s="208"/>
      <c r="L415" s="208"/>
      <c r="M415" s="208"/>
      <c r="N415" s="208"/>
      <c r="O415" s="208"/>
      <c r="P415" s="208"/>
      <c r="Q415" s="208"/>
      <c r="R415" s="208"/>
      <c r="S415" s="208"/>
      <c r="T415" s="208"/>
      <c r="U415" s="208"/>
      <c r="V415" s="208"/>
      <c r="W415" s="208"/>
      <c r="X415" s="208"/>
      <c r="Y415" s="208"/>
      <c r="Z415" s="208"/>
    </row>
    <row r="416" spans="1:26">
      <c r="A416" s="242"/>
      <c r="B416" s="242"/>
      <c r="C416" s="242"/>
      <c r="D416" s="242"/>
      <c r="E416" s="242"/>
      <c r="F416" s="242"/>
      <c r="G416" s="208"/>
      <c r="H416" s="208"/>
      <c r="I416" s="208"/>
      <c r="J416" s="208"/>
      <c r="K416" s="208"/>
      <c r="L416" s="208"/>
      <c r="M416" s="208"/>
      <c r="N416" s="208"/>
      <c r="O416" s="208"/>
      <c r="P416" s="208"/>
      <c r="Q416" s="208"/>
      <c r="R416" s="208"/>
      <c r="S416" s="208"/>
      <c r="T416" s="208"/>
      <c r="U416" s="208"/>
      <c r="V416" s="208"/>
      <c r="W416" s="208"/>
      <c r="X416" s="208"/>
      <c r="Y416" s="208"/>
      <c r="Z416" s="208"/>
    </row>
    <row r="417" spans="1:26">
      <c r="A417" s="242"/>
      <c r="B417" s="242"/>
      <c r="C417" s="242"/>
      <c r="D417" s="242"/>
      <c r="E417" s="242"/>
      <c r="F417" s="242"/>
      <c r="G417" s="208"/>
      <c r="H417" s="208"/>
      <c r="I417" s="208"/>
      <c r="J417" s="208"/>
      <c r="K417" s="208"/>
      <c r="L417" s="208"/>
      <c r="M417" s="208"/>
      <c r="N417" s="208"/>
      <c r="O417" s="208"/>
      <c r="P417" s="208"/>
      <c r="Q417" s="208"/>
      <c r="R417" s="208"/>
      <c r="S417" s="208"/>
      <c r="T417" s="208"/>
      <c r="U417" s="208"/>
      <c r="V417" s="208"/>
      <c r="W417" s="208"/>
      <c r="X417" s="208"/>
      <c r="Y417" s="208"/>
      <c r="Z417" s="208"/>
    </row>
    <row r="418" spans="1:26">
      <c r="A418" s="242"/>
      <c r="B418" s="242"/>
      <c r="C418" s="242"/>
      <c r="D418" s="242"/>
      <c r="E418" s="242"/>
      <c r="F418" s="242"/>
      <c r="G418" s="208"/>
      <c r="H418" s="208"/>
      <c r="I418" s="208"/>
      <c r="J418" s="208"/>
      <c r="K418" s="208"/>
      <c r="L418" s="208"/>
      <c r="M418" s="208"/>
      <c r="N418" s="208"/>
      <c r="O418" s="208"/>
      <c r="P418" s="208"/>
      <c r="Q418" s="208"/>
      <c r="R418" s="208"/>
      <c r="S418" s="208"/>
      <c r="T418" s="208"/>
      <c r="U418" s="208"/>
      <c r="V418" s="208"/>
      <c r="W418" s="208"/>
      <c r="X418" s="208"/>
      <c r="Y418" s="208"/>
      <c r="Z418" s="208"/>
    </row>
    <row r="419" spans="1:26">
      <c r="A419" s="242"/>
      <c r="B419" s="242"/>
      <c r="C419" s="242"/>
      <c r="D419" s="242"/>
      <c r="E419" s="242"/>
      <c r="F419" s="242"/>
      <c r="G419" s="208"/>
      <c r="H419" s="208"/>
      <c r="I419" s="208"/>
      <c r="J419" s="208"/>
      <c r="K419" s="208"/>
      <c r="L419" s="208"/>
      <c r="M419" s="208"/>
      <c r="N419" s="208"/>
      <c r="O419" s="208"/>
      <c r="P419" s="208"/>
      <c r="Q419" s="208"/>
      <c r="R419" s="208"/>
      <c r="S419" s="208"/>
      <c r="T419" s="208"/>
      <c r="U419" s="208"/>
      <c r="V419" s="208"/>
      <c r="W419" s="208"/>
      <c r="X419" s="208"/>
      <c r="Y419" s="208"/>
      <c r="Z419" s="208"/>
    </row>
    <row r="420" spans="1:26">
      <c r="A420" s="242"/>
      <c r="B420" s="242"/>
      <c r="C420" s="242"/>
      <c r="D420" s="242"/>
      <c r="E420" s="242"/>
      <c r="F420" s="242"/>
      <c r="G420" s="208"/>
      <c r="H420" s="208"/>
      <c r="I420" s="208"/>
      <c r="J420" s="208"/>
      <c r="K420" s="208"/>
      <c r="L420" s="208"/>
      <c r="M420" s="208"/>
      <c r="N420" s="208"/>
      <c r="O420" s="208"/>
      <c r="P420" s="208"/>
      <c r="Q420" s="208"/>
      <c r="R420" s="208"/>
      <c r="S420" s="208"/>
      <c r="T420" s="208"/>
      <c r="U420" s="208"/>
      <c r="V420" s="208"/>
      <c r="W420" s="208"/>
      <c r="X420" s="208"/>
      <c r="Y420" s="208"/>
      <c r="Z420" s="208"/>
    </row>
    <row r="421" spans="1:26">
      <c r="A421" s="242"/>
      <c r="B421" s="242"/>
      <c r="C421" s="242"/>
      <c r="D421" s="242"/>
      <c r="E421" s="242"/>
      <c r="F421" s="242"/>
      <c r="G421" s="208"/>
      <c r="H421" s="208"/>
      <c r="I421" s="208"/>
      <c r="J421" s="208"/>
      <c r="K421" s="208"/>
      <c r="L421" s="208"/>
      <c r="M421" s="208"/>
      <c r="N421" s="208"/>
      <c r="O421" s="208"/>
      <c r="P421" s="208"/>
      <c r="Q421" s="208"/>
      <c r="R421" s="208"/>
      <c r="S421" s="208"/>
      <c r="T421" s="208"/>
      <c r="U421" s="208"/>
      <c r="V421" s="208"/>
      <c r="W421" s="208"/>
      <c r="X421" s="208"/>
      <c r="Y421" s="208"/>
      <c r="Z421" s="208"/>
    </row>
    <row r="422" spans="1:26">
      <c r="A422" s="242"/>
      <c r="B422" s="242"/>
      <c r="C422" s="242"/>
      <c r="D422" s="242"/>
      <c r="E422" s="242"/>
      <c r="F422" s="242"/>
      <c r="G422" s="208"/>
      <c r="H422" s="208"/>
      <c r="I422" s="208"/>
      <c r="J422" s="208"/>
      <c r="K422" s="208"/>
      <c r="L422" s="208"/>
      <c r="M422" s="208"/>
      <c r="N422" s="208"/>
      <c r="O422" s="208"/>
      <c r="P422" s="208"/>
      <c r="Q422" s="208"/>
      <c r="R422" s="208"/>
      <c r="S422" s="208"/>
      <c r="T422" s="208"/>
      <c r="U422" s="208"/>
      <c r="V422" s="208"/>
      <c r="W422" s="208"/>
      <c r="X422" s="208"/>
      <c r="Y422" s="208"/>
      <c r="Z422" s="208"/>
    </row>
    <row r="423" spans="1:26">
      <c r="A423" s="242"/>
      <c r="B423" s="242"/>
      <c r="C423" s="242"/>
      <c r="D423" s="242"/>
      <c r="E423" s="242"/>
      <c r="F423" s="242"/>
      <c r="G423" s="208"/>
      <c r="H423" s="208"/>
      <c r="I423" s="208"/>
      <c r="J423" s="208"/>
      <c r="K423" s="208"/>
      <c r="L423" s="208"/>
      <c r="M423" s="208"/>
      <c r="N423" s="208"/>
      <c r="O423" s="208"/>
      <c r="P423" s="208"/>
      <c r="Q423" s="208"/>
      <c r="R423" s="208"/>
      <c r="S423" s="208"/>
      <c r="T423" s="208"/>
      <c r="U423" s="208"/>
      <c r="V423" s="208"/>
      <c r="W423" s="208"/>
      <c r="X423" s="208"/>
      <c r="Y423" s="208"/>
      <c r="Z423" s="208"/>
    </row>
    <row r="424" spans="1:26">
      <c r="A424" s="242"/>
      <c r="B424" s="242"/>
      <c r="C424" s="242"/>
      <c r="D424" s="242"/>
      <c r="E424" s="242"/>
      <c r="F424" s="242"/>
      <c r="G424" s="208"/>
      <c r="H424" s="208"/>
      <c r="I424" s="208"/>
      <c r="J424" s="208"/>
      <c r="K424" s="208"/>
      <c r="L424" s="208"/>
      <c r="M424" s="208"/>
      <c r="N424" s="208"/>
      <c r="O424" s="208"/>
      <c r="P424" s="208"/>
      <c r="Q424" s="208"/>
      <c r="R424" s="208"/>
      <c r="S424" s="208"/>
      <c r="T424" s="208"/>
      <c r="U424" s="208"/>
      <c r="V424" s="208"/>
      <c r="W424" s="208"/>
      <c r="X424" s="208"/>
      <c r="Y424" s="208"/>
      <c r="Z424" s="208"/>
    </row>
    <row r="425" spans="1:26">
      <c r="A425" s="242"/>
      <c r="B425" s="242"/>
      <c r="C425" s="242"/>
      <c r="D425" s="242"/>
      <c r="E425" s="242"/>
      <c r="F425" s="242"/>
      <c r="G425" s="208"/>
      <c r="H425" s="208"/>
      <c r="I425" s="208"/>
      <c r="J425" s="208"/>
      <c r="K425" s="208"/>
      <c r="L425" s="208"/>
      <c r="M425" s="208"/>
      <c r="N425" s="208"/>
      <c r="O425" s="208"/>
      <c r="P425" s="208"/>
      <c r="Q425" s="208"/>
      <c r="R425" s="208"/>
      <c r="S425" s="208"/>
      <c r="T425" s="208"/>
      <c r="U425" s="208"/>
      <c r="V425" s="208"/>
      <c r="W425" s="208"/>
      <c r="X425" s="208"/>
      <c r="Y425" s="208"/>
      <c r="Z425" s="208"/>
    </row>
    <row r="426" spans="1:26">
      <c r="A426" s="242"/>
      <c r="B426" s="242"/>
      <c r="C426" s="242"/>
      <c r="D426" s="242"/>
      <c r="E426" s="242"/>
      <c r="F426" s="242"/>
      <c r="G426" s="208"/>
      <c r="H426" s="208"/>
      <c r="I426" s="208"/>
      <c r="J426" s="208"/>
      <c r="K426" s="208"/>
      <c r="L426" s="208"/>
      <c r="M426" s="208"/>
      <c r="N426" s="208"/>
      <c r="O426" s="208"/>
      <c r="P426" s="208"/>
      <c r="Q426" s="208"/>
      <c r="R426" s="208"/>
      <c r="S426" s="208"/>
      <c r="T426" s="208"/>
      <c r="U426" s="208"/>
      <c r="V426" s="208"/>
      <c r="W426" s="208"/>
      <c r="X426" s="208"/>
      <c r="Y426" s="208"/>
      <c r="Z426" s="208"/>
    </row>
    <row r="427" spans="1:26">
      <c r="A427" s="242"/>
      <c r="B427" s="242"/>
      <c r="C427" s="242"/>
      <c r="D427" s="242"/>
      <c r="E427" s="242"/>
      <c r="F427" s="242"/>
      <c r="G427" s="208"/>
      <c r="H427" s="208"/>
      <c r="I427" s="208"/>
      <c r="J427" s="208"/>
      <c r="K427" s="208"/>
      <c r="L427" s="208"/>
      <c r="M427" s="208"/>
      <c r="N427" s="208"/>
      <c r="O427" s="208"/>
      <c r="P427" s="208"/>
      <c r="Q427" s="208"/>
      <c r="R427" s="208"/>
      <c r="S427" s="208"/>
      <c r="T427" s="208"/>
      <c r="U427" s="208"/>
      <c r="V427" s="208"/>
      <c r="W427" s="208"/>
      <c r="X427" s="208"/>
      <c r="Y427" s="208"/>
      <c r="Z427" s="208"/>
    </row>
    <row r="428" spans="1:26">
      <c r="A428" s="242"/>
      <c r="B428" s="242"/>
      <c r="C428" s="242"/>
      <c r="D428" s="242"/>
      <c r="E428" s="242"/>
      <c r="F428" s="242"/>
      <c r="G428" s="208"/>
      <c r="H428" s="208"/>
      <c r="I428" s="208"/>
      <c r="J428" s="208"/>
      <c r="K428" s="208"/>
      <c r="L428" s="208"/>
      <c r="M428" s="208"/>
      <c r="N428" s="208"/>
      <c r="O428" s="208"/>
      <c r="P428" s="208"/>
      <c r="Q428" s="208"/>
      <c r="R428" s="208"/>
      <c r="S428" s="208"/>
      <c r="T428" s="208"/>
      <c r="U428" s="208"/>
      <c r="V428" s="208"/>
      <c r="W428" s="208"/>
      <c r="X428" s="208"/>
      <c r="Y428" s="208"/>
      <c r="Z428" s="208"/>
    </row>
    <row r="429" spans="1:26">
      <c r="A429" s="242"/>
      <c r="B429" s="242"/>
      <c r="C429" s="242"/>
      <c r="D429" s="242"/>
      <c r="E429" s="242"/>
      <c r="F429" s="242"/>
      <c r="G429" s="208"/>
      <c r="H429" s="208"/>
      <c r="I429" s="208"/>
      <c r="J429" s="208"/>
      <c r="K429" s="208"/>
      <c r="L429" s="208"/>
      <c r="M429" s="208"/>
      <c r="N429" s="208"/>
      <c r="O429" s="208"/>
      <c r="P429" s="208"/>
      <c r="Q429" s="208"/>
      <c r="R429" s="208"/>
      <c r="S429" s="208"/>
      <c r="T429" s="208"/>
      <c r="U429" s="208"/>
      <c r="V429" s="208"/>
      <c r="W429" s="208"/>
      <c r="X429" s="208"/>
      <c r="Y429" s="208"/>
      <c r="Z429" s="208"/>
    </row>
    <row r="430" spans="1:26">
      <c r="A430" s="242"/>
      <c r="B430" s="242"/>
      <c r="C430" s="242"/>
      <c r="D430" s="242"/>
      <c r="E430" s="242"/>
      <c r="F430" s="242"/>
      <c r="G430" s="208"/>
      <c r="H430" s="208"/>
      <c r="I430" s="208"/>
      <c r="J430" s="208"/>
      <c r="K430" s="208"/>
      <c r="L430" s="208"/>
      <c r="M430" s="208"/>
      <c r="N430" s="208"/>
      <c r="O430" s="208"/>
      <c r="P430" s="208"/>
      <c r="Q430" s="208"/>
      <c r="R430" s="208"/>
      <c r="S430" s="208"/>
      <c r="T430" s="208"/>
      <c r="U430" s="208"/>
      <c r="V430" s="208"/>
      <c r="W430" s="208"/>
      <c r="X430" s="208"/>
      <c r="Y430" s="208"/>
      <c r="Z430" s="208"/>
    </row>
    <row r="431" spans="1:26">
      <c r="A431" s="242"/>
      <c r="B431" s="242"/>
      <c r="C431" s="242"/>
      <c r="D431" s="242"/>
      <c r="E431" s="242"/>
      <c r="F431" s="242"/>
      <c r="G431" s="208"/>
      <c r="H431" s="208"/>
      <c r="I431" s="208"/>
      <c r="J431" s="208"/>
      <c r="K431" s="208"/>
      <c r="L431" s="208"/>
      <c r="M431" s="208"/>
      <c r="N431" s="208"/>
      <c r="O431" s="208"/>
      <c r="P431" s="208"/>
      <c r="Q431" s="208"/>
      <c r="R431" s="208"/>
      <c r="S431" s="208"/>
      <c r="T431" s="208"/>
      <c r="U431" s="208"/>
      <c r="V431" s="208"/>
      <c r="W431" s="208"/>
      <c r="X431" s="208"/>
      <c r="Y431" s="208"/>
      <c r="Z431" s="208"/>
    </row>
    <row r="432" spans="1:26">
      <c r="A432" s="242"/>
      <c r="B432" s="242"/>
      <c r="C432" s="242"/>
      <c r="D432" s="242"/>
      <c r="E432" s="242"/>
      <c r="F432" s="242"/>
      <c r="G432" s="208"/>
      <c r="H432" s="208"/>
      <c r="I432" s="208"/>
      <c r="J432" s="208"/>
      <c r="K432" s="208"/>
      <c r="L432" s="208"/>
      <c r="M432" s="208"/>
      <c r="N432" s="208"/>
      <c r="O432" s="208"/>
      <c r="P432" s="208"/>
      <c r="Q432" s="208"/>
      <c r="R432" s="208"/>
      <c r="S432" s="208"/>
      <c r="T432" s="208"/>
      <c r="U432" s="208"/>
      <c r="V432" s="208"/>
      <c r="W432" s="208"/>
      <c r="X432" s="208"/>
      <c r="Y432" s="208"/>
      <c r="Z432" s="208"/>
    </row>
    <row r="433" spans="1:26">
      <c r="A433" s="242"/>
      <c r="B433" s="242"/>
      <c r="C433" s="242"/>
      <c r="D433" s="242"/>
      <c r="E433" s="242"/>
      <c r="F433" s="242"/>
      <c r="G433" s="208"/>
      <c r="H433" s="208"/>
      <c r="I433" s="208"/>
      <c r="J433" s="208"/>
      <c r="K433" s="208"/>
      <c r="L433" s="208"/>
      <c r="M433" s="208"/>
      <c r="N433" s="208"/>
      <c r="O433" s="208"/>
      <c r="P433" s="208"/>
      <c r="Q433" s="208"/>
      <c r="R433" s="208"/>
      <c r="S433" s="208"/>
      <c r="T433" s="208"/>
      <c r="U433" s="208"/>
      <c r="V433" s="208"/>
      <c r="W433" s="208"/>
      <c r="X433" s="208"/>
      <c r="Y433" s="208"/>
      <c r="Z433" s="208"/>
    </row>
    <row r="434" spans="1:26">
      <c r="A434" s="242"/>
      <c r="B434" s="242"/>
      <c r="C434" s="242"/>
      <c r="D434" s="242"/>
      <c r="E434" s="242"/>
      <c r="F434" s="242"/>
      <c r="G434" s="208"/>
      <c r="H434" s="208"/>
      <c r="I434" s="208"/>
      <c r="J434" s="208"/>
      <c r="K434" s="208"/>
      <c r="L434" s="208"/>
      <c r="M434" s="208"/>
      <c r="N434" s="208"/>
      <c r="O434" s="208"/>
      <c r="P434" s="208"/>
      <c r="Q434" s="208"/>
      <c r="R434" s="208"/>
      <c r="S434" s="208"/>
      <c r="T434" s="208"/>
      <c r="U434" s="208"/>
      <c r="V434" s="208"/>
      <c r="W434" s="208"/>
      <c r="X434" s="208"/>
      <c r="Y434" s="208"/>
      <c r="Z434" s="208"/>
    </row>
    <row r="435" spans="1:26">
      <c r="A435" s="242"/>
      <c r="B435" s="242"/>
      <c r="C435" s="242"/>
      <c r="D435" s="242"/>
      <c r="E435" s="242"/>
      <c r="F435" s="242"/>
      <c r="G435" s="208"/>
      <c r="H435" s="208"/>
      <c r="I435" s="208"/>
      <c r="J435" s="208"/>
      <c r="K435" s="208"/>
      <c r="L435" s="208"/>
      <c r="M435" s="208"/>
      <c r="N435" s="208"/>
      <c r="O435" s="208"/>
      <c r="P435" s="208"/>
      <c r="Q435" s="208"/>
      <c r="R435" s="208"/>
      <c r="S435" s="208"/>
      <c r="T435" s="208"/>
      <c r="U435" s="208"/>
      <c r="V435" s="208"/>
      <c r="W435" s="208"/>
      <c r="X435" s="208"/>
      <c r="Y435" s="208"/>
      <c r="Z435" s="208"/>
    </row>
    <row r="436" spans="1:26">
      <c r="A436" s="242"/>
      <c r="B436" s="242"/>
      <c r="C436" s="242"/>
      <c r="D436" s="242"/>
      <c r="E436" s="242"/>
      <c r="F436" s="242"/>
      <c r="G436" s="208"/>
      <c r="H436" s="208"/>
      <c r="I436" s="208"/>
      <c r="J436" s="208"/>
      <c r="K436" s="208"/>
      <c r="L436" s="208"/>
      <c r="M436" s="208"/>
      <c r="N436" s="208"/>
      <c r="O436" s="208"/>
      <c r="P436" s="208"/>
      <c r="Q436" s="208"/>
      <c r="R436" s="208"/>
      <c r="S436" s="208"/>
      <c r="T436" s="208"/>
      <c r="U436" s="208"/>
      <c r="V436" s="208"/>
      <c r="W436" s="208"/>
      <c r="X436" s="208"/>
      <c r="Y436" s="208"/>
      <c r="Z436" s="208"/>
    </row>
    <row r="437" spans="1:26">
      <c r="A437" s="242"/>
      <c r="B437" s="242"/>
      <c r="C437" s="242"/>
      <c r="D437" s="242"/>
      <c r="E437" s="242"/>
      <c r="F437" s="242"/>
      <c r="G437" s="208"/>
      <c r="H437" s="208"/>
      <c r="I437" s="208"/>
      <c r="J437" s="208"/>
      <c r="K437" s="208"/>
      <c r="L437" s="208"/>
      <c r="M437" s="208"/>
      <c r="N437" s="208"/>
      <c r="O437" s="208"/>
      <c r="P437" s="208"/>
      <c r="Q437" s="208"/>
      <c r="R437" s="208"/>
      <c r="S437" s="208"/>
      <c r="T437" s="208"/>
      <c r="U437" s="208"/>
      <c r="V437" s="208"/>
      <c r="W437" s="208"/>
      <c r="X437" s="208"/>
      <c r="Y437" s="208"/>
      <c r="Z437" s="208"/>
    </row>
    <row r="438" spans="1:26">
      <c r="A438" s="242"/>
      <c r="B438" s="242"/>
      <c r="C438" s="242"/>
      <c r="D438" s="242"/>
      <c r="E438" s="242"/>
      <c r="F438" s="242"/>
      <c r="G438" s="208"/>
      <c r="H438" s="208"/>
      <c r="I438" s="208"/>
      <c r="J438" s="208"/>
      <c r="K438" s="208"/>
      <c r="L438" s="208"/>
      <c r="M438" s="208"/>
      <c r="N438" s="208"/>
      <c r="O438" s="208"/>
      <c r="P438" s="208"/>
      <c r="Q438" s="208"/>
      <c r="R438" s="208"/>
      <c r="S438" s="208"/>
      <c r="T438" s="208"/>
      <c r="U438" s="208"/>
      <c r="V438" s="208"/>
      <c r="W438" s="208"/>
      <c r="X438" s="208"/>
      <c r="Y438" s="208"/>
      <c r="Z438" s="208"/>
    </row>
    <row r="439" spans="1:26">
      <c r="A439" s="242"/>
      <c r="B439" s="242"/>
      <c r="C439" s="242"/>
      <c r="D439" s="242"/>
      <c r="E439" s="242"/>
      <c r="F439" s="242"/>
      <c r="G439" s="208"/>
      <c r="H439" s="208"/>
      <c r="I439" s="208"/>
      <c r="J439" s="208"/>
      <c r="K439" s="208"/>
      <c r="L439" s="208"/>
      <c r="M439" s="208"/>
      <c r="N439" s="208"/>
      <c r="O439" s="208"/>
      <c r="P439" s="208"/>
      <c r="Q439" s="208"/>
      <c r="R439" s="208"/>
      <c r="S439" s="208"/>
      <c r="T439" s="208"/>
      <c r="U439" s="208"/>
      <c r="V439" s="208"/>
      <c r="W439" s="208"/>
      <c r="X439" s="208"/>
      <c r="Y439" s="208"/>
      <c r="Z439" s="208"/>
    </row>
    <row r="440" spans="1:26">
      <c r="A440" s="242"/>
      <c r="B440" s="242"/>
      <c r="C440" s="242"/>
      <c r="D440" s="242"/>
      <c r="E440" s="242"/>
      <c r="F440" s="242"/>
      <c r="G440" s="208"/>
      <c r="H440" s="208"/>
      <c r="I440" s="208"/>
      <c r="J440" s="208"/>
      <c r="K440" s="208"/>
      <c r="L440" s="208"/>
      <c r="M440" s="208"/>
      <c r="N440" s="208"/>
      <c r="O440" s="208"/>
      <c r="P440" s="208"/>
      <c r="Q440" s="208"/>
      <c r="R440" s="208"/>
      <c r="S440" s="208"/>
      <c r="T440" s="208"/>
      <c r="U440" s="208"/>
      <c r="V440" s="208"/>
      <c r="W440" s="208"/>
      <c r="X440" s="208"/>
      <c r="Y440" s="208"/>
      <c r="Z440" s="208"/>
    </row>
    <row r="441" spans="1:26">
      <c r="A441" s="242"/>
      <c r="B441" s="242"/>
      <c r="C441" s="242"/>
      <c r="D441" s="242"/>
      <c r="E441" s="242"/>
      <c r="F441" s="242"/>
      <c r="G441" s="208"/>
      <c r="H441" s="208"/>
      <c r="I441" s="208"/>
      <c r="J441" s="208"/>
      <c r="K441" s="208"/>
      <c r="L441" s="208"/>
      <c r="M441" s="208"/>
      <c r="N441" s="208"/>
      <c r="O441" s="208"/>
      <c r="P441" s="208"/>
      <c r="Q441" s="208"/>
      <c r="R441" s="208"/>
      <c r="S441" s="208"/>
      <c r="T441" s="208"/>
      <c r="U441" s="208"/>
      <c r="V441" s="208"/>
      <c r="W441" s="208"/>
      <c r="X441" s="208"/>
      <c r="Y441" s="208"/>
      <c r="Z441" s="208"/>
    </row>
    <row r="442" spans="1:26">
      <c r="A442" s="242"/>
      <c r="B442" s="242"/>
      <c r="C442" s="242"/>
      <c r="D442" s="242"/>
      <c r="E442" s="242"/>
      <c r="F442" s="242"/>
      <c r="G442" s="208"/>
      <c r="H442" s="208"/>
      <c r="I442" s="208"/>
      <c r="J442" s="208"/>
      <c r="K442" s="208"/>
      <c r="L442" s="208"/>
      <c r="M442" s="208"/>
      <c r="N442" s="208"/>
      <c r="O442" s="208"/>
      <c r="P442" s="208"/>
      <c r="Q442" s="208"/>
      <c r="R442" s="208"/>
      <c r="S442" s="208"/>
      <c r="T442" s="208"/>
      <c r="U442" s="208"/>
      <c r="V442" s="208"/>
      <c r="W442" s="208"/>
      <c r="X442" s="208"/>
      <c r="Y442" s="208"/>
      <c r="Z442" s="208"/>
    </row>
    <row r="443" spans="1:26">
      <c r="A443" s="242"/>
      <c r="B443" s="242"/>
      <c r="C443" s="242"/>
      <c r="D443" s="242"/>
      <c r="E443" s="242"/>
      <c r="F443" s="242"/>
      <c r="G443" s="208"/>
      <c r="H443" s="208"/>
      <c r="I443" s="208"/>
      <c r="J443" s="208"/>
      <c r="K443" s="208"/>
      <c r="L443" s="208"/>
      <c r="M443" s="208"/>
      <c r="N443" s="208"/>
      <c r="O443" s="208"/>
      <c r="P443" s="208"/>
      <c r="Q443" s="208"/>
      <c r="R443" s="208"/>
      <c r="S443" s="208"/>
      <c r="T443" s="208"/>
      <c r="U443" s="208"/>
      <c r="V443" s="208"/>
      <c r="W443" s="208"/>
      <c r="X443" s="208"/>
      <c r="Y443" s="208"/>
      <c r="Z443" s="208"/>
    </row>
    <row r="444" spans="1:26">
      <c r="A444" s="242"/>
      <c r="B444" s="242"/>
      <c r="C444" s="242"/>
      <c r="D444" s="242"/>
      <c r="E444" s="242"/>
      <c r="F444" s="242"/>
      <c r="G444" s="208"/>
      <c r="H444" s="208"/>
      <c r="I444" s="208"/>
      <c r="J444" s="208"/>
      <c r="K444" s="208"/>
      <c r="L444" s="208"/>
      <c r="M444" s="208"/>
      <c r="N444" s="208"/>
      <c r="O444" s="208"/>
      <c r="P444" s="208"/>
      <c r="Q444" s="208"/>
      <c r="R444" s="208"/>
      <c r="S444" s="208"/>
      <c r="T444" s="208"/>
      <c r="U444" s="208"/>
      <c r="V444" s="208"/>
      <c r="W444" s="208"/>
      <c r="X444" s="208"/>
      <c r="Y444" s="208"/>
      <c r="Z444" s="208"/>
    </row>
    <row r="445" spans="1:26">
      <c r="A445" s="242"/>
      <c r="B445" s="242"/>
      <c r="C445" s="242"/>
      <c r="D445" s="242"/>
      <c r="E445" s="242"/>
      <c r="F445" s="242"/>
      <c r="G445" s="208"/>
      <c r="H445" s="208"/>
      <c r="I445" s="208"/>
      <c r="J445" s="208"/>
      <c r="K445" s="208"/>
      <c r="L445" s="208"/>
      <c r="M445" s="208"/>
      <c r="N445" s="208"/>
      <c r="O445" s="208"/>
      <c r="P445" s="208"/>
      <c r="Q445" s="208"/>
      <c r="R445" s="208"/>
      <c r="S445" s="208"/>
      <c r="T445" s="208"/>
      <c r="U445" s="208"/>
      <c r="V445" s="208"/>
      <c r="W445" s="208"/>
      <c r="X445" s="208"/>
      <c r="Y445" s="208"/>
      <c r="Z445" s="208"/>
    </row>
    <row r="446" spans="1:26">
      <c r="A446" s="242"/>
      <c r="B446" s="242"/>
      <c r="C446" s="242"/>
      <c r="D446" s="242"/>
      <c r="E446" s="242"/>
      <c r="F446" s="242"/>
      <c r="G446" s="208"/>
      <c r="H446" s="208"/>
      <c r="I446" s="208"/>
      <c r="J446" s="208"/>
      <c r="K446" s="208"/>
      <c r="L446" s="208"/>
      <c r="M446" s="208"/>
      <c r="N446" s="208"/>
      <c r="O446" s="208"/>
      <c r="P446" s="208"/>
      <c r="Q446" s="208"/>
      <c r="R446" s="208"/>
      <c r="S446" s="208"/>
      <c r="T446" s="208"/>
      <c r="U446" s="208"/>
      <c r="V446" s="208"/>
      <c r="W446" s="208"/>
      <c r="X446" s="208"/>
      <c r="Y446" s="208"/>
      <c r="Z446" s="208"/>
    </row>
    <row r="447" spans="1:26">
      <c r="A447" s="242"/>
      <c r="B447" s="242"/>
      <c r="C447" s="242"/>
      <c r="D447" s="242"/>
      <c r="E447" s="242"/>
      <c r="F447" s="242"/>
      <c r="G447" s="208"/>
      <c r="H447" s="208"/>
      <c r="I447" s="208"/>
      <c r="J447" s="208"/>
      <c r="K447" s="208"/>
      <c r="L447" s="208"/>
      <c r="M447" s="208"/>
      <c r="N447" s="208"/>
      <c r="O447" s="208"/>
      <c r="P447" s="208"/>
      <c r="Q447" s="208"/>
      <c r="R447" s="208"/>
      <c r="S447" s="208"/>
      <c r="T447" s="208"/>
      <c r="U447" s="208"/>
      <c r="V447" s="208"/>
      <c r="W447" s="208"/>
      <c r="X447" s="208"/>
      <c r="Y447" s="208"/>
      <c r="Z447" s="208"/>
    </row>
    <row r="448" spans="1:26">
      <c r="A448" s="242"/>
      <c r="B448" s="242"/>
      <c r="C448" s="242"/>
      <c r="D448" s="242"/>
      <c r="E448" s="242"/>
      <c r="F448" s="242"/>
      <c r="G448" s="208"/>
      <c r="H448" s="208"/>
      <c r="I448" s="208"/>
      <c r="J448" s="208"/>
      <c r="K448" s="208"/>
      <c r="L448" s="208"/>
      <c r="M448" s="208"/>
      <c r="N448" s="208"/>
      <c r="O448" s="208"/>
      <c r="P448" s="208"/>
      <c r="Q448" s="208"/>
      <c r="R448" s="208"/>
      <c r="S448" s="208"/>
      <c r="T448" s="208"/>
      <c r="U448" s="208"/>
      <c r="V448" s="208"/>
      <c r="W448" s="208"/>
      <c r="X448" s="208"/>
      <c r="Y448" s="208"/>
      <c r="Z448" s="208"/>
    </row>
    <row r="449" spans="1:26">
      <c r="A449" s="242"/>
      <c r="B449" s="242"/>
      <c r="C449" s="242"/>
      <c r="D449" s="242"/>
      <c r="E449" s="242"/>
      <c r="F449" s="242"/>
      <c r="G449" s="208"/>
      <c r="H449" s="208"/>
      <c r="I449" s="208"/>
      <c r="J449" s="208"/>
      <c r="K449" s="208"/>
      <c r="L449" s="208"/>
      <c r="M449" s="208"/>
      <c r="N449" s="208"/>
      <c r="O449" s="208"/>
      <c r="P449" s="208"/>
      <c r="Q449" s="208"/>
      <c r="R449" s="208"/>
      <c r="S449" s="208"/>
      <c r="T449" s="208"/>
      <c r="U449" s="208"/>
      <c r="V449" s="208"/>
      <c r="W449" s="208"/>
      <c r="X449" s="208"/>
      <c r="Y449" s="208"/>
      <c r="Z449" s="208"/>
    </row>
    <row r="450" spans="1:26">
      <c r="A450" s="242"/>
      <c r="B450" s="242"/>
      <c r="C450" s="242"/>
      <c r="D450" s="242"/>
      <c r="E450" s="242"/>
      <c r="F450" s="242"/>
      <c r="G450" s="208"/>
      <c r="H450" s="208"/>
      <c r="I450" s="208"/>
      <c r="J450" s="208"/>
      <c r="K450" s="208"/>
      <c r="L450" s="208"/>
      <c r="M450" s="208"/>
      <c r="N450" s="208"/>
      <c r="O450" s="208"/>
      <c r="P450" s="208"/>
      <c r="Q450" s="208"/>
      <c r="R450" s="208"/>
      <c r="S450" s="208"/>
      <c r="T450" s="208"/>
      <c r="U450" s="208"/>
      <c r="V450" s="208"/>
      <c r="W450" s="208"/>
      <c r="X450" s="208"/>
      <c r="Y450" s="208"/>
      <c r="Z450" s="208"/>
    </row>
    <row r="451" spans="1:26">
      <c r="A451" s="242"/>
      <c r="B451" s="242"/>
      <c r="C451" s="242"/>
      <c r="D451" s="242"/>
      <c r="E451" s="242"/>
      <c r="F451" s="242"/>
      <c r="G451" s="208"/>
      <c r="H451" s="208"/>
      <c r="I451" s="208"/>
      <c r="J451" s="208"/>
      <c r="K451" s="208"/>
      <c r="L451" s="208"/>
      <c r="M451" s="208"/>
      <c r="N451" s="208"/>
      <c r="O451" s="208"/>
      <c r="P451" s="208"/>
      <c r="Q451" s="208"/>
      <c r="R451" s="208"/>
      <c r="S451" s="208"/>
      <c r="T451" s="208"/>
      <c r="U451" s="208"/>
      <c r="V451" s="208"/>
      <c r="W451" s="208"/>
      <c r="X451" s="208"/>
      <c r="Y451" s="208"/>
      <c r="Z451" s="208"/>
    </row>
    <row r="452" spans="1:26">
      <c r="A452" s="242"/>
      <c r="B452" s="242"/>
      <c r="C452" s="242"/>
      <c r="D452" s="242"/>
      <c r="E452" s="242"/>
      <c r="F452" s="242"/>
      <c r="G452" s="208"/>
      <c r="H452" s="208"/>
      <c r="I452" s="208"/>
      <c r="J452" s="208"/>
      <c r="K452" s="208"/>
      <c r="L452" s="208"/>
      <c r="M452" s="208"/>
      <c r="N452" s="208"/>
      <c r="O452" s="208"/>
      <c r="P452" s="208"/>
      <c r="Q452" s="208"/>
      <c r="R452" s="208"/>
      <c r="S452" s="208"/>
      <c r="T452" s="208"/>
      <c r="U452" s="208"/>
      <c r="V452" s="208"/>
      <c r="W452" s="208"/>
      <c r="X452" s="208"/>
      <c r="Y452" s="208"/>
      <c r="Z452" s="208"/>
    </row>
    <row r="453" spans="1:26">
      <c r="A453" s="242"/>
      <c r="B453" s="242"/>
      <c r="C453" s="242"/>
      <c r="D453" s="242"/>
      <c r="E453" s="242"/>
      <c r="F453" s="242"/>
      <c r="G453" s="208"/>
      <c r="H453" s="208"/>
      <c r="I453" s="208"/>
      <c r="J453" s="208"/>
      <c r="K453" s="208"/>
      <c r="L453" s="208"/>
      <c r="M453" s="208"/>
      <c r="N453" s="208"/>
      <c r="O453" s="208"/>
      <c r="P453" s="208"/>
      <c r="Q453" s="208"/>
      <c r="R453" s="208"/>
      <c r="S453" s="208"/>
      <c r="T453" s="208"/>
      <c r="U453" s="208"/>
      <c r="V453" s="208"/>
      <c r="W453" s="208"/>
      <c r="X453" s="208"/>
      <c r="Y453" s="208"/>
      <c r="Z453" s="208"/>
    </row>
    <row r="454" spans="1:26">
      <c r="A454" s="242"/>
      <c r="B454" s="242"/>
      <c r="C454" s="242"/>
      <c r="D454" s="242"/>
      <c r="E454" s="242"/>
      <c r="F454" s="242"/>
      <c r="G454" s="208"/>
      <c r="H454" s="208"/>
      <c r="I454" s="208"/>
      <c r="J454" s="208"/>
      <c r="K454" s="208"/>
      <c r="L454" s="208"/>
      <c r="M454" s="208"/>
      <c r="N454" s="208"/>
      <c r="O454" s="208"/>
      <c r="P454" s="208"/>
      <c r="Q454" s="208"/>
      <c r="R454" s="208"/>
      <c r="S454" s="208"/>
      <c r="T454" s="208"/>
      <c r="U454" s="208"/>
      <c r="V454" s="208"/>
      <c r="W454" s="208"/>
      <c r="X454" s="208"/>
      <c r="Y454" s="208"/>
      <c r="Z454" s="208"/>
    </row>
    <row r="455" spans="1:26">
      <c r="A455" s="242"/>
      <c r="B455" s="242"/>
      <c r="C455" s="242"/>
      <c r="D455" s="242"/>
      <c r="E455" s="242"/>
      <c r="F455" s="242"/>
      <c r="G455" s="208"/>
      <c r="H455" s="208"/>
      <c r="I455" s="208"/>
      <c r="J455" s="208"/>
      <c r="K455" s="208"/>
      <c r="L455" s="208"/>
      <c r="M455" s="208"/>
      <c r="N455" s="208"/>
      <c r="O455" s="208"/>
      <c r="P455" s="208"/>
      <c r="Q455" s="208"/>
      <c r="R455" s="208"/>
      <c r="S455" s="208"/>
      <c r="T455" s="208"/>
      <c r="U455" s="208"/>
      <c r="V455" s="208"/>
      <c r="W455" s="208"/>
      <c r="X455" s="208"/>
      <c r="Y455" s="208"/>
      <c r="Z455" s="208"/>
    </row>
    <row r="456" spans="1:26">
      <c r="A456" s="242"/>
      <c r="B456" s="242"/>
      <c r="C456" s="242"/>
      <c r="D456" s="242"/>
      <c r="E456" s="242"/>
      <c r="F456" s="242"/>
      <c r="G456" s="208"/>
      <c r="H456" s="208"/>
      <c r="I456" s="208"/>
      <c r="J456" s="208"/>
      <c r="K456" s="208"/>
      <c r="L456" s="208"/>
      <c r="M456" s="208"/>
      <c r="N456" s="208"/>
      <c r="O456" s="208"/>
      <c r="P456" s="208"/>
      <c r="Q456" s="208"/>
      <c r="R456" s="208"/>
      <c r="S456" s="208"/>
      <c r="T456" s="208"/>
      <c r="U456" s="208"/>
      <c r="V456" s="208"/>
      <c r="W456" s="208"/>
      <c r="X456" s="208"/>
      <c r="Y456" s="208"/>
      <c r="Z456" s="208"/>
    </row>
    <row r="457" spans="1:26">
      <c r="A457" s="242"/>
      <c r="B457" s="242"/>
      <c r="C457" s="242"/>
      <c r="D457" s="242"/>
      <c r="E457" s="242"/>
      <c r="F457" s="242"/>
      <c r="G457" s="208"/>
      <c r="H457" s="208"/>
      <c r="I457" s="208"/>
      <c r="J457" s="208"/>
      <c r="K457" s="208"/>
      <c r="L457" s="208"/>
      <c r="M457" s="208"/>
      <c r="N457" s="208"/>
      <c r="O457" s="208"/>
      <c r="P457" s="208"/>
      <c r="Q457" s="208"/>
      <c r="R457" s="208"/>
      <c r="S457" s="208"/>
      <c r="T457" s="208"/>
      <c r="U457" s="208"/>
      <c r="V457" s="208"/>
      <c r="W457" s="208"/>
      <c r="X457" s="208"/>
      <c r="Y457" s="208"/>
      <c r="Z457" s="208"/>
    </row>
    <row r="458" spans="1:26">
      <c r="A458" s="242"/>
      <c r="B458" s="242"/>
      <c r="C458" s="242"/>
      <c r="D458" s="242"/>
      <c r="E458" s="242"/>
      <c r="F458" s="242"/>
      <c r="G458" s="208"/>
      <c r="H458" s="208"/>
      <c r="I458" s="208"/>
      <c r="J458" s="208"/>
      <c r="K458" s="208"/>
      <c r="L458" s="208"/>
      <c r="M458" s="208"/>
      <c r="N458" s="208"/>
      <c r="O458" s="208"/>
      <c r="P458" s="208"/>
      <c r="Q458" s="208"/>
      <c r="R458" s="208"/>
      <c r="S458" s="208"/>
      <c r="T458" s="208"/>
      <c r="U458" s="208"/>
      <c r="V458" s="208"/>
      <c r="W458" s="208"/>
      <c r="X458" s="208"/>
      <c r="Y458" s="208"/>
      <c r="Z458" s="208"/>
    </row>
    <row r="459" spans="1:26">
      <c r="A459" s="242"/>
      <c r="B459" s="242"/>
      <c r="C459" s="242"/>
      <c r="D459" s="242"/>
      <c r="E459" s="242"/>
      <c r="F459" s="242"/>
      <c r="G459" s="208"/>
      <c r="H459" s="208"/>
      <c r="I459" s="208"/>
      <c r="J459" s="208"/>
      <c r="K459" s="208"/>
      <c r="L459" s="208"/>
      <c r="M459" s="208"/>
      <c r="N459" s="208"/>
      <c r="O459" s="208"/>
      <c r="P459" s="208"/>
      <c r="Q459" s="208"/>
      <c r="R459" s="208"/>
      <c r="S459" s="208"/>
      <c r="T459" s="208"/>
      <c r="U459" s="208"/>
      <c r="V459" s="208"/>
      <c r="W459" s="208"/>
      <c r="X459" s="208"/>
      <c r="Y459" s="208"/>
      <c r="Z459" s="208"/>
    </row>
    <row r="460" spans="1:26">
      <c r="A460" s="242"/>
      <c r="B460" s="242"/>
      <c r="C460" s="242"/>
      <c r="D460" s="242"/>
      <c r="E460" s="242"/>
      <c r="F460" s="242"/>
      <c r="G460" s="208"/>
      <c r="H460" s="208"/>
      <c r="I460" s="208"/>
      <c r="J460" s="208"/>
      <c r="K460" s="208"/>
      <c r="L460" s="208"/>
      <c r="M460" s="208"/>
      <c r="N460" s="208"/>
      <c r="O460" s="208"/>
      <c r="P460" s="208"/>
      <c r="Q460" s="208"/>
      <c r="R460" s="208"/>
      <c r="S460" s="208"/>
      <c r="T460" s="208"/>
      <c r="U460" s="208"/>
      <c r="V460" s="208"/>
      <c r="W460" s="208"/>
      <c r="X460" s="208"/>
      <c r="Y460" s="208"/>
      <c r="Z460" s="208"/>
    </row>
    <row r="461" spans="1:26">
      <c r="A461" s="242"/>
      <c r="B461" s="242"/>
      <c r="C461" s="242"/>
      <c r="D461" s="242"/>
      <c r="E461" s="242"/>
      <c r="F461" s="242"/>
      <c r="G461" s="208"/>
      <c r="H461" s="208"/>
      <c r="I461" s="208"/>
      <c r="J461" s="208"/>
      <c r="K461" s="208"/>
      <c r="L461" s="208"/>
      <c r="M461" s="208"/>
      <c r="N461" s="208"/>
      <c r="O461" s="208"/>
      <c r="P461" s="208"/>
      <c r="Q461" s="208"/>
      <c r="R461" s="208"/>
      <c r="S461" s="208"/>
      <c r="T461" s="208"/>
      <c r="U461" s="208"/>
      <c r="V461" s="208"/>
      <c r="W461" s="208"/>
      <c r="X461" s="208"/>
      <c r="Y461" s="208"/>
      <c r="Z461" s="208"/>
    </row>
    <row r="462" spans="1:26">
      <c r="A462" s="242"/>
      <c r="B462" s="242"/>
      <c r="C462" s="242"/>
      <c r="D462" s="242"/>
      <c r="E462" s="242"/>
      <c r="F462" s="242"/>
      <c r="G462" s="208"/>
      <c r="H462" s="208"/>
      <c r="I462" s="208"/>
      <c r="J462" s="208"/>
      <c r="K462" s="208"/>
      <c r="L462" s="208"/>
      <c r="M462" s="208"/>
      <c r="N462" s="208"/>
      <c r="O462" s="208"/>
      <c r="P462" s="208"/>
      <c r="Q462" s="208"/>
      <c r="R462" s="208"/>
      <c r="S462" s="208"/>
      <c r="T462" s="208"/>
      <c r="U462" s="208"/>
      <c r="V462" s="208"/>
      <c r="W462" s="208"/>
      <c r="X462" s="208"/>
      <c r="Y462" s="208"/>
      <c r="Z462" s="208"/>
    </row>
    <row r="463" spans="1:26">
      <c r="A463" s="242"/>
      <c r="B463" s="242"/>
      <c r="C463" s="242"/>
      <c r="D463" s="242"/>
      <c r="E463" s="242"/>
      <c r="F463" s="242"/>
      <c r="G463" s="208"/>
      <c r="H463" s="208"/>
      <c r="I463" s="208"/>
      <c r="J463" s="208"/>
      <c r="K463" s="208"/>
      <c r="L463" s="208"/>
      <c r="M463" s="208"/>
      <c r="N463" s="208"/>
      <c r="O463" s="208"/>
      <c r="P463" s="208"/>
      <c r="Q463" s="208"/>
      <c r="R463" s="208"/>
      <c r="S463" s="208"/>
      <c r="T463" s="208"/>
      <c r="U463" s="208"/>
      <c r="V463" s="208"/>
      <c r="W463" s="208"/>
      <c r="X463" s="208"/>
      <c r="Y463" s="208"/>
      <c r="Z463" s="208"/>
    </row>
    <row r="464" spans="1:26">
      <c r="A464" s="242"/>
      <c r="B464" s="242"/>
      <c r="C464" s="242"/>
      <c r="D464" s="242"/>
      <c r="E464" s="242"/>
      <c r="F464" s="242"/>
      <c r="G464" s="208"/>
      <c r="H464" s="208"/>
      <c r="I464" s="208"/>
      <c r="J464" s="208"/>
      <c r="K464" s="208"/>
      <c r="L464" s="208"/>
      <c r="M464" s="208"/>
      <c r="N464" s="208"/>
      <c r="O464" s="208"/>
      <c r="P464" s="208"/>
      <c r="Q464" s="208"/>
      <c r="R464" s="208"/>
      <c r="S464" s="208"/>
      <c r="T464" s="208"/>
      <c r="U464" s="208"/>
      <c r="V464" s="208"/>
      <c r="W464" s="208"/>
      <c r="X464" s="208"/>
      <c r="Y464" s="208"/>
      <c r="Z464" s="208"/>
    </row>
    <row r="465" spans="1:26">
      <c r="A465" s="242"/>
      <c r="B465" s="242"/>
      <c r="C465" s="242"/>
      <c r="D465" s="242"/>
      <c r="E465" s="242"/>
      <c r="F465" s="242"/>
      <c r="G465" s="208"/>
      <c r="H465" s="208"/>
      <c r="I465" s="208"/>
      <c r="J465" s="208"/>
      <c r="K465" s="208"/>
      <c r="L465" s="208"/>
      <c r="M465" s="208"/>
      <c r="N465" s="208"/>
      <c r="O465" s="208"/>
      <c r="P465" s="208"/>
      <c r="Q465" s="208"/>
      <c r="R465" s="208"/>
      <c r="S465" s="208"/>
      <c r="T465" s="208"/>
      <c r="U465" s="208"/>
      <c r="V465" s="208"/>
      <c r="W465" s="208"/>
      <c r="X465" s="208"/>
      <c r="Y465" s="208"/>
      <c r="Z465" s="208"/>
    </row>
    <row r="466" spans="1:26">
      <c r="A466" s="242"/>
      <c r="B466" s="242"/>
      <c r="C466" s="242"/>
      <c r="D466" s="242"/>
      <c r="E466" s="242"/>
      <c r="F466" s="242"/>
      <c r="G466" s="208"/>
      <c r="H466" s="208"/>
      <c r="I466" s="208"/>
      <c r="J466" s="208"/>
      <c r="K466" s="208"/>
      <c r="L466" s="208"/>
      <c r="M466" s="208"/>
      <c r="N466" s="208"/>
      <c r="O466" s="208"/>
      <c r="P466" s="208"/>
      <c r="Q466" s="208"/>
      <c r="R466" s="208"/>
      <c r="S466" s="208"/>
      <c r="T466" s="208"/>
      <c r="U466" s="208"/>
      <c r="V466" s="208"/>
      <c r="W466" s="208"/>
      <c r="X466" s="208"/>
      <c r="Y466" s="208"/>
      <c r="Z466" s="208"/>
    </row>
    <row r="467" spans="1:26">
      <c r="A467" s="242"/>
      <c r="B467" s="242"/>
      <c r="C467" s="242"/>
      <c r="D467" s="242"/>
      <c r="E467" s="242"/>
      <c r="F467" s="242"/>
      <c r="G467" s="208"/>
      <c r="H467" s="208"/>
      <c r="I467" s="208"/>
      <c r="J467" s="208"/>
      <c r="K467" s="208"/>
      <c r="L467" s="208"/>
      <c r="M467" s="208"/>
      <c r="N467" s="208"/>
      <c r="O467" s="208"/>
      <c r="P467" s="208"/>
      <c r="Q467" s="208"/>
      <c r="R467" s="208"/>
      <c r="S467" s="208"/>
      <c r="T467" s="208"/>
      <c r="U467" s="208"/>
      <c r="V467" s="208"/>
      <c r="W467" s="208"/>
      <c r="X467" s="208"/>
      <c r="Y467" s="208"/>
      <c r="Z467" s="208"/>
    </row>
    <row r="468" spans="1:26">
      <c r="A468" s="242"/>
      <c r="B468" s="242"/>
      <c r="C468" s="242"/>
      <c r="D468" s="242"/>
      <c r="E468" s="242"/>
      <c r="F468" s="242"/>
      <c r="G468" s="208"/>
      <c r="H468" s="208"/>
      <c r="I468" s="208"/>
      <c r="J468" s="208"/>
      <c r="K468" s="208"/>
      <c r="L468" s="208"/>
      <c r="M468" s="208"/>
      <c r="N468" s="208"/>
      <c r="O468" s="208"/>
      <c r="P468" s="208"/>
      <c r="Q468" s="208"/>
      <c r="R468" s="208"/>
      <c r="S468" s="208"/>
      <c r="T468" s="208"/>
      <c r="U468" s="208"/>
      <c r="V468" s="208"/>
      <c r="W468" s="208"/>
      <c r="X468" s="208"/>
      <c r="Y468" s="208"/>
      <c r="Z468" s="208"/>
    </row>
    <row r="469" spans="1:26">
      <c r="A469" s="242"/>
      <c r="B469" s="242"/>
      <c r="C469" s="242"/>
      <c r="D469" s="242"/>
      <c r="E469" s="242"/>
      <c r="F469" s="242"/>
      <c r="G469" s="208"/>
      <c r="H469" s="208"/>
      <c r="I469" s="208"/>
      <c r="J469" s="208"/>
      <c r="K469" s="208"/>
      <c r="L469" s="208"/>
      <c r="M469" s="208"/>
      <c r="N469" s="208"/>
      <c r="O469" s="208"/>
      <c r="P469" s="208"/>
      <c r="Q469" s="208"/>
      <c r="R469" s="208"/>
      <c r="S469" s="208"/>
      <c r="T469" s="208"/>
      <c r="U469" s="208"/>
      <c r="V469" s="208"/>
      <c r="W469" s="208"/>
      <c r="X469" s="208"/>
      <c r="Y469" s="208"/>
      <c r="Z469" s="208"/>
    </row>
    <row r="470" spans="1:26">
      <c r="A470" s="242"/>
      <c r="B470" s="242"/>
      <c r="C470" s="242"/>
      <c r="D470" s="242"/>
      <c r="E470" s="242"/>
      <c r="F470" s="242"/>
      <c r="G470" s="208"/>
      <c r="H470" s="208"/>
      <c r="I470" s="208"/>
      <c r="J470" s="208"/>
      <c r="K470" s="208"/>
      <c r="L470" s="208"/>
      <c r="M470" s="208"/>
      <c r="N470" s="208"/>
      <c r="O470" s="208"/>
      <c r="P470" s="208"/>
      <c r="Q470" s="208"/>
      <c r="R470" s="208"/>
      <c r="S470" s="208"/>
      <c r="T470" s="208"/>
      <c r="U470" s="208"/>
      <c r="V470" s="208"/>
      <c r="W470" s="208"/>
      <c r="X470" s="208"/>
      <c r="Y470" s="208"/>
      <c r="Z470" s="208"/>
    </row>
    <row r="471" spans="1:26">
      <c r="A471" s="242"/>
      <c r="B471" s="242"/>
      <c r="C471" s="242"/>
      <c r="D471" s="242"/>
      <c r="E471" s="242"/>
      <c r="F471" s="242"/>
      <c r="G471" s="208"/>
      <c r="H471" s="208"/>
      <c r="I471" s="208"/>
      <c r="J471" s="208"/>
      <c r="K471" s="208"/>
      <c r="L471" s="208"/>
      <c r="M471" s="208"/>
      <c r="N471" s="208"/>
      <c r="O471" s="208"/>
      <c r="P471" s="208"/>
      <c r="Q471" s="208"/>
      <c r="R471" s="208"/>
      <c r="S471" s="208"/>
      <c r="T471" s="208"/>
      <c r="U471" s="208"/>
      <c r="V471" s="208"/>
      <c r="W471" s="208"/>
      <c r="X471" s="208"/>
      <c r="Y471" s="208"/>
      <c r="Z471" s="208"/>
    </row>
    <row r="472" spans="1:26">
      <c r="A472" s="242"/>
      <c r="B472" s="242"/>
      <c r="C472" s="242"/>
      <c r="D472" s="242"/>
      <c r="E472" s="242"/>
      <c r="F472" s="242"/>
      <c r="G472" s="208"/>
      <c r="H472" s="208"/>
      <c r="I472" s="208"/>
      <c r="J472" s="208"/>
      <c r="K472" s="208"/>
      <c r="L472" s="208"/>
      <c r="M472" s="208"/>
      <c r="N472" s="208"/>
      <c r="O472" s="208"/>
      <c r="P472" s="208"/>
      <c r="Q472" s="208"/>
      <c r="R472" s="208"/>
      <c r="S472" s="208"/>
      <c r="T472" s="208"/>
      <c r="U472" s="208"/>
      <c r="V472" s="208"/>
      <c r="W472" s="208"/>
      <c r="X472" s="208"/>
      <c r="Y472" s="208"/>
      <c r="Z472" s="208"/>
    </row>
    <row r="473" spans="1:26">
      <c r="A473" s="242"/>
      <c r="B473" s="242"/>
      <c r="C473" s="242"/>
      <c r="D473" s="242"/>
      <c r="E473" s="242"/>
      <c r="F473" s="242"/>
      <c r="G473" s="208"/>
      <c r="H473" s="208"/>
      <c r="I473" s="208"/>
      <c r="J473" s="208"/>
      <c r="K473" s="208"/>
      <c r="L473" s="208"/>
      <c r="M473" s="208"/>
      <c r="N473" s="208"/>
      <c r="O473" s="208"/>
      <c r="P473" s="208"/>
      <c r="Q473" s="208"/>
      <c r="R473" s="208"/>
      <c r="S473" s="208"/>
      <c r="T473" s="208"/>
      <c r="U473" s="208"/>
      <c r="V473" s="208"/>
      <c r="W473" s="208"/>
      <c r="X473" s="208"/>
      <c r="Y473" s="208"/>
      <c r="Z473" s="208"/>
    </row>
    <row r="474" spans="1:26">
      <c r="A474" s="242"/>
      <c r="B474" s="242"/>
      <c r="C474" s="242"/>
      <c r="D474" s="242"/>
      <c r="E474" s="242"/>
      <c r="F474" s="242"/>
      <c r="G474" s="208"/>
      <c r="H474" s="208"/>
      <c r="I474" s="208"/>
      <c r="J474" s="208"/>
      <c r="K474" s="208"/>
      <c r="L474" s="208"/>
      <c r="M474" s="208"/>
      <c r="N474" s="208"/>
      <c r="O474" s="208"/>
      <c r="P474" s="208"/>
      <c r="Q474" s="208"/>
      <c r="R474" s="208"/>
      <c r="S474" s="208"/>
      <c r="T474" s="208"/>
      <c r="U474" s="208"/>
      <c r="V474" s="208"/>
      <c r="W474" s="208"/>
      <c r="X474" s="208"/>
      <c r="Y474" s="208"/>
      <c r="Z474" s="208"/>
    </row>
    <row r="475" spans="1:26">
      <c r="A475" s="242"/>
      <c r="B475" s="242"/>
      <c r="C475" s="242"/>
      <c r="D475" s="242"/>
      <c r="E475" s="242"/>
      <c r="F475" s="242"/>
      <c r="G475" s="208"/>
      <c r="H475" s="208"/>
      <c r="I475" s="208"/>
      <c r="J475" s="208"/>
      <c r="K475" s="208"/>
      <c r="L475" s="208"/>
      <c r="M475" s="208"/>
      <c r="N475" s="208"/>
      <c r="O475" s="208"/>
      <c r="P475" s="208"/>
      <c r="Q475" s="208"/>
      <c r="R475" s="208"/>
      <c r="S475" s="208"/>
      <c r="T475" s="208"/>
      <c r="U475" s="208"/>
      <c r="V475" s="208"/>
      <c r="W475" s="208"/>
      <c r="X475" s="208"/>
      <c r="Y475" s="208"/>
      <c r="Z475" s="208"/>
    </row>
    <row r="476" spans="1:26">
      <c r="A476" s="242"/>
      <c r="B476" s="242"/>
      <c r="C476" s="242"/>
      <c r="D476" s="242"/>
      <c r="E476" s="242"/>
      <c r="F476" s="242"/>
      <c r="G476" s="208"/>
      <c r="H476" s="208"/>
      <c r="I476" s="208"/>
      <c r="J476" s="208"/>
      <c r="K476" s="208"/>
      <c r="L476" s="208"/>
      <c r="M476" s="208"/>
      <c r="N476" s="208"/>
      <c r="O476" s="208"/>
      <c r="P476" s="208"/>
      <c r="Q476" s="208"/>
      <c r="R476" s="208"/>
      <c r="S476" s="208"/>
      <c r="T476" s="208"/>
      <c r="U476" s="208"/>
      <c r="V476" s="208"/>
      <c r="W476" s="208"/>
      <c r="X476" s="208"/>
      <c r="Y476" s="208"/>
      <c r="Z476" s="208"/>
    </row>
    <row r="477" spans="1:26">
      <c r="A477" s="242"/>
      <c r="B477" s="242"/>
      <c r="C477" s="242"/>
      <c r="D477" s="242"/>
      <c r="E477" s="242"/>
      <c r="F477" s="242"/>
      <c r="G477" s="208"/>
      <c r="H477" s="208"/>
      <c r="I477" s="208"/>
      <c r="J477" s="208"/>
      <c r="K477" s="208"/>
      <c r="L477" s="208"/>
      <c r="M477" s="208"/>
      <c r="N477" s="208"/>
      <c r="O477" s="208"/>
      <c r="P477" s="208"/>
      <c r="Q477" s="208"/>
      <c r="R477" s="208"/>
      <c r="S477" s="208"/>
      <c r="T477" s="208"/>
      <c r="U477" s="208"/>
      <c r="V477" s="208"/>
      <c r="W477" s="208"/>
      <c r="X477" s="208"/>
      <c r="Y477" s="208"/>
      <c r="Z477" s="208"/>
    </row>
    <row r="478" spans="1:26">
      <c r="A478" s="242"/>
      <c r="B478" s="242"/>
      <c r="C478" s="242"/>
      <c r="D478" s="242"/>
      <c r="E478" s="242"/>
      <c r="F478" s="242"/>
      <c r="G478" s="208"/>
      <c r="H478" s="208"/>
      <c r="I478" s="208"/>
      <c r="J478" s="208"/>
      <c r="K478" s="208"/>
      <c r="L478" s="208"/>
      <c r="M478" s="208"/>
      <c r="N478" s="208"/>
      <c r="O478" s="208"/>
      <c r="P478" s="208"/>
      <c r="Q478" s="208"/>
      <c r="R478" s="208"/>
      <c r="S478" s="208"/>
      <c r="T478" s="208"/>
      <c r="U478" s="208"/>
      <c r="V478" s="208"/>
      <c r="W478" s="208"/>
      <c r="X478" s="208"/>
      <c r="Y478" s="208"/>
      <c r="Z478" s="208"/>
    </row>
    <row r="479" spans="1:26">
      <c r="A479" s="242"/>
      <c r="B479" s="242"/>
      <c r="C479" s="242"/>
      <c r="D479" s="242"/>
      <c r="E479" s="242"/>
      <c r="F479" s="242"/>
      <c r="G479" s="208"/>
      <c r="H479" s="208"/>
      <c r="I479" s="208"/>
      <c r="J479" s="208"/>
      <c r="K479" s="208"/>
      <c r="L479" s="208"/>
      <c r="M479" s="208"/>
      <c r="N479" s="208"/>
      <c r="O479" s="208"/>
      <c r="P479" s="208"/>
      <c r="Q479" s="208"/>
      <c r="R479" s="208"/>
      <c r="S479" s="208"/>
      <c r="T479" s="208"/>
      <c r="U479" s="208"/>
      <c r="V479" s="208"/>
      <c r="W479" s="208"/>
      <c r="X479" s="208"/>
      <c r="Y479" s="208"/>
      <c r="Z479" s="208"/>
    </row>
    <row r="480" spans="1:26">
      <c r="A480" s="242"/>
      <c r="B480" s="242"/>
      <c r="C480" s="242"/>
      <c r="D480" s="242"/>
      <c r="E480" s="242"/>
      <c r="F480" s="242"/>
      <c r="G480" s="208"/>
      <c r="H480" s="208"/>
      <c r="I480" s="208"/>
      <c r="J480" s="208"/>
      <c r="K480" s="208"/>
      <c r="L480" s="208"/>
      <c r="M480" s="208"/>
      <c r="N480" s="208"/>
      <c r="O480" s="208"/>
      <c r="P480" s="208"/>
      <c r="Q480" s="208"/>
      <c r="R480" s="208"/>
      <c r="S480" s="208"/>
      <c r="T480" s="208"/>
      <c r="U480" s="208"/>
      <c r="V480" s="208"/>
      <c r="W480" s="208"/>
      <c r="X480" s="208"/>
      <c r="Y480" s="208"/>
      <c r="Z480" s="208"/>
    </row>
    <row r="481" spans="1:26">
      <c r="A481" s="242"/>
      <c r="B481" s="242"/>
      <c r="C481" s="242"/>
      <c r="D481" s="242"/>
      <c r="E481" s="242"/>
      <c r="F481" s="242"/>
      <c r="G481" s="208"/>
      <c r="H481" s="208"/>
      <c r="I481" s="208"/>
      <c r="J481" s="208"/>
      <c r="K481" s="208"/>
      <c r="L481" s="208"/>
      <c r="M481" s="208"/>
      <c r="N481" s="208"/>
      <c r="O481" s="208"/>
      <c r="P481" s="208"/>
      <c r="Q481" s="208"/>
      <c r="R481" s="208"/>
      <c r="S481" s="208"/>
      <c r="T481" s="208"/>
      <c r="U481" s="208"/>
      <c r="V481" s="208"/>
      <c r="W481" s="208"/>
      <c r="X481" s="208"/>
      <c r="Y481" s="208"/>
      <c r="Z481" s="208"/>
    </row>
    <row r="482" spans="1:26">
      <c r="A482" s="242"/>
      <c r="B482" s="242"/>
      <c r="C482" s="242"/>
      <c r="D482" s="242"/>
      <c r="E482" s="242"/>
      <c r="F482" s="242"/>
      <c r="G482" s="208"/>
      <c r="H482" s="208"/>
      <c r="I482" s="208"/>
      <c r="J482" s="208"/>
      <c r="K482" s="208"/>
      <c r="L482" s="208"/>
      <c r="M482" s="208"/>
      <c r="N482" s="208"/>
      <c r="O482" s="208"/>
      <c r="P482" s="208"/>
      <c r="Q482" s="208"/>
      <c r="R482" s="208"/>
      <c r="S482" s="208"/>
      <c r="T482" s="208"/>
      <c r="U482" s="208"/>
      <c r="V482" s="208"/>
      <c r="W482" s="208"/>
      <c r="X482" s="208"/>
      <c r="Y482" s="208"/>
      <c r="Z482" s="208"/>
    </row>
    <row r="483" spans="1:26">
      <c r="A483" s="242"/>
      <c r="B483" s="242"/>
      <c r="C483" s="242"/>
      <c r="D483" s="242"/>
      <c r="E483" s="242"/>
      <c r="F483" s="242"/>
      <c r="G483" s="208"/>
      <c r="H483" s="208"/>
      <c r="I483" s="208"/>
      <c r="J483" s="208"/>
      <c r="K483" s="208"/>
      <c r="L483" s="208"/>
      <c r="M483" s="208"/>
      <c r="N483" s="208"/>
      <c r="O483" s="208"/>
      <c r="P483" s="208"/>
      <c r="Q483" s="208"/>
      <c r="R483" s="208"/>
      <c r="S483" s="208"/>
      <c r="T483" s="208"/>
      <c r="U483" s="208"/>
      <c r="V483" s="208"/>
      <c r="W483" s="208"/>
      <c r="X483" s="208"/>
      <c r="Y483" s="208"/>
      <c r="Z483" s="208"/>
    </row>
    <row r="484" spans="1:26">
      <c r="A484" s="242"/>
      <c r="B484" s="242"/>
      <c r="C484" s="242"/>
      <c r="D484" s="242"/>
      <c r="E484" s="242"/>
      <c r="F484" s="242"/>
      <c r="G484" s="208"/>
      <c r="H484" s="208"/>
      <c r="I484" s="208"/>
      <c r="J484" s="208"/>
      <c r="K484" s="208"/>
      <c r="L484" s="208"/>
      <c r="M484" s="208"/>
      <c r="N484" s="208"/>
      <c r="O484" s="208"/>
      <c r="P484" s="208"/>
      <c r="Q484" s="208"/>
      <c r="R484" s="208"/>
      <c r="S484" s="208"/>
      <c r="T484" s="208"/>
      <c r="U484" s="208"/>
      <c r="V484" s="208"/>
      <c r="W484" s="208"/>
      <c r="X484" s="208"/>
      <c r="Y484" s="208"/>
      <c r="Z484" s="208"/>
    </row>
    <row r="485" spans="1:26">
      <c r="A485" s="242"/>
      <c r="B485" s="242"/>
      <c r="C485" s="242"/>
      <c r="D485" s="242"/>
      <c r="E485" s="242"/>
      <c r="F485" s="242"/>
      <c r="G485" s="208"/>
      <c r="H485" s="208"/>
      <c r="I485" s="208"/>
      <c r="J485" s="208"/>
      <c r="K485" s="208"/>
      <c r="L485" s="208"/>
      <c r="M485" s="208"/>
      <c r="N485" s="208"/>
      <c r="O485" s="208"/>
      <c r="P485" s="208"/>
      <c r="Q485" s="208"/>
      <c r="R485" s="208"/>
      <c r="S485" s="208"/>
      <c r="T485" s="208"/>
      <c r="U485" s="208"/>
      <c r="V485" s="208"/>
      <c r="W485" s="208"/>
      <c r="X485" s="208"/>
      <c r="Y485" s="208"/>
      <c r="Z485" s="208"/>
    </row>
    <row r="486" spans="1:26">
      <c r="A486" s="242"/>
      <c r="B486" s="242"/>
      <c r="C486" s="242"/>
      <c r="D486" s="242"/>
      <c r="E486" s="242"/>
      <c r="F486" s="242"/>
      <c r="G486" s="208"/>
      <c r="H486" s="208"/>
      <c r="I486" s="208"/>
      <c r="J486" s="208"/>
      <c r="K486" s="208"/>
      <c r="L486" s="208"/>
      <c r="M486" s="208"/>
      <c r="N486" s="208"/>
      <c r="O486" s="208"/>
      <c r="P486" s="208"/>
      <c r="Q486" s="208"/>
      <c r="R486" s="208"/>
      <c r="S486" s="208"/>
      <c r="T486" s="208"/>
      <c r="U486" s="208"/>
      <c r="V486" s="208"/>
      <c r="W486" s="208"/>
      <c r="X486" s="208"/>
      <c r="Y486" s="208"/>
      <c r="Z486" s="208"/>
    </row>
    <row r="487" spans="1:26">
      <c r="A487" s="242"/>
      <c r="B487" s="242"/>
      <c r="C487" s="242"/>
      <c r="D487" s="242"/>
      <c r="E487" s="242"/>
      <c r="F487" s="242"/>
      <c r="G487" s="208"/>
      <c r="H487" s="208"/>
      <c r="I487" s="208"/>
      <c r="J487" s="208"/>
      <c r="K487" s="208"/>
      <c r="L487" s="208"/>
      <c r="M487" s="208"/>
      <c r="N487" s="208"/>
      <c r="O487" s="208"/>
      <c r="P487" s="208"/>
      <c r="Q487" s="208"/>
      <c r="R487" s="208"/>
      <c r="S487" s="208"/>
      <c r="T487" s="208"/>
      <c r="U487" s="208"/>
      <c r="V487" s="208"/>
      <c r="W487" s="208"/>
      <c r="X487" s="208"/>
      <c r="Y487" s="208"/>
      <c r="Z487" s="208"/>
    </row>
    <row r="488" spans="1:26">
      <c r="A488" s="242"/>
      <c r="B488" s="242"/>
      <c r="C488" s="242"/>
      <c r="D488" s="242"/>
      <c r="E488" s="242"/>
      <c r="F488" s="242"/>
      <c r="G488" s="208"/>
      <c r="H488" s="208"/>
      <c r="I488" s="208"/>
      <c r="J488" s="208"/>
      <c r="K488" s="208"/>
      <c r="L488" s="208"/>
      <c r="M488" s="208"/>
      <c r="N488" s="208"/>
      <c r="O488" s="208"/>
      <c r="P488" s="208"/>
      <c r="Q488" s="208"/>
      <c r="R488" s="208"/>
      <c r="S488" s="208"/>
      <c r="T488" s="208"/>
      <c r="U488" s="208"/>
      <c r="V488" s="208"/>
      <c r="W488" s="208"/>
      <c r="X488" s="208"/>
      <c r="Y488" s="208"/>
      <c r="Z488" s="208"/>
    </row>
    <row r="489" spans="1:26">
      <c r="A489" s="242"/>
      <c r="B489" s="242"/>
      <c r="C489" s="242"/>
      <c r="D489" s="242"/>
      <c r="E489" s="242"/>
      <c r="F489" s="242"/>
      <c r="G489" s="208"/>
      <c r="H489" s="208"/>
      <c r="I489" s="208"/>
      <c r="J489" s="208"/>
      <c r="K489" s="208"/>
      <c r="L489" s="208"/>
      <c r="M489" s="208"/>
      <c r="N489" s="208"/>
      <c r="O489" s="208"/>
      <c r="P489" s="208"/>
      <c r="Q489" s="208"/>
      <c r="R489" s="208"/>
      <c r="S489" s="208"/>
      <c r="T489" s="208"/>
      <c r="U489" s="208"/>
      <c r="V489" s="208"/>
      <c r="W489" s="208"/>
      <c r="X489" s="208"/>
      <c r="Y489" s="208"/>
      <c r="Z489" s="208"/>
    </row>
    <row r="490" spans="1:26">
      <c r="A490" s="242"/>
      <c r="B490" s="242"/>
      <c r="C490" s="242"/>
      <c r="D490" s="242"/>
      <c r="E490" s="242"/>
      <c r="F490" s="242"/>
      <c r="G490" s="208"/>
      <c r="H490" s="208"/>
      <c r="I490" s="208"/>
      <c r="J490" s="208"/>
      <c r="K490" s="208"/>
      <c r="L490" s="208"/>
      <c r="M490" s="208"/>
      <c r="N490" s="208"/>
      <c r="O490" s="208"/>
      <c r="P490" s="208"/>
      <c r="Q490" s="208"/>
      <c r="R490" s="208"/>
      <c r="S490" s="208"/>
      <c r="T490" s="208"/>
      <c r="U490" s="208"/>
      <c r="V490" s="208"/>
      <c r="W490" s="208"/>
      <c r="X490" s="208"/>
      <c r="Y490" s="208"/>
      <c r="Z490" s="208"/>
    </row>
    <row r="491" spans="1:26">
      <c r="A491" s="242"/>
      <c r="B491" s="242"/>
      <c r="C491" s="242"/>
      <c r="D491" s="242"/>
      <c r="E491" s="242"/>
      <c r="F491" s="242"/>
      <c r="G491" s="208"/>
      <c r="H491" s="208"/>
      <c r="I491" s="208"/>
      <c r="J491" s="208"/>
      <c r="K491" s="208"/>
      <c r="L491" s="208"/>
      <c r="M491" s="208"/>
      <c r="N491" s="208"/>
      <c r="O491" s="208"/>
      <c r="P491" s="208"/>
      <c r="Q491" s="208"/>
      <c r="R491" s="208"/>
      <c r="S491" s="208"/>
      <c r="T491" s="208"/>
      <c r="U491" s="208"/>
      <c r="V491" s="208"/>
      <c r="W491" s="208"/>
      <c r="X491" s="208"/>
      <c r="Y491" s="208"/>
      <c r="Z491" s="208"/>
    </row>
    <row r="492" spans="1:26">
      <c r="A492" s="242"/>
      <c r="B492" s="242"/>
      <c r="C492" s="242"/>
      <c r="D492" s="242"/>
      <c r="E492" s="242"/>
      <c r="F492" s="242"/>
      <c r="G492" s="208"/>
      <c r="H492" s="208"/>
      <c r="I492" s="208"/>
      <c r="J492" s="208"/>
      <c r="K492" s="208"/>
      <c r="L492" s="208"/>
      <c r="M492" s="208"/>
      <c r="N492" s="208"/>
      <c r="O492" s="208"/>
      <c r="P492" s="208"/>
      <c r="Q492" s="208"/>
      <c r="R492" s="208"/>
      <c r="S492" s="208"/>
      <c r="T492" s="208"/>
      <c r="U492" s="208"/>
      <c r="V492" s="208"/>
      <c r="W492" s="208"/>
      <c r="X492" s="208"/>
      <c r="Y492" s="208"/>
      <c r="Z492" s="208"/>
    </row>
    <row r="493" spans="1:26">
      <c r="A493" s="242"/>
      <c r="B493" s="242"/>
      <c r="C493" s="242"/>
      <c r="D493" s="242"/>
      <c r="E493" s="242"/>
      <c r="F493" s="242"/>
      <c r="G493" s="208"/>
      <c r="H493" s="208"/>
      <c r="I493" s="208"/>
      <c r="J493" s="208"/>
      <c r="K493" s="208"/>
      <c r="L493" s="208"/>
      <c r="M493" s="208"/>
      <c r="N493" s="208"/>
      <c r="O493" s="208"/>
      <c r="P493" s="208"/>
      <c r="Q493" s="208"/>
      <c r="R493" s="208"/>
      <c r="S493" s="208"/>
      <c r="T493" s="208"/>
      <c r="U493" s="208"/>
      <c r="V493" s="208"/>
      <c r="W493" s="208"/>
      <c r="X493" s="208"/>
      <c r="Y493" s="208"/>
      <c r="Z493" s="208"/>
    </row>
    <row r="494" spans="1:26">
      <c r="A494" s="242"/>
      <c r="B494" s="242"/>
      <c r="C494" s="242"/>
      <c r="D494" s="242"/>
      <c r="E494" s="242"/>
      <c r="F494" s="242"/>
      <c r="G494" s="208"/>
      <c r="H494" s="208"/>
      <c r="I494" s="208"/>
      <c r="J494" s="208"/>
      <c r="K494" s="208"/>
      <c r="L494" s="208"/>
      <c r="M494" s="208"/>
      <c r="N494" s="208"/>
      <c r="O494" s="208"/>
      <c r="P494" s="208"/>
      <c r="Q494" s="208"/>
      <c r="R494" s="208"/>
      <c r="S494" s="208"/>
      <c r="T494" s="208"/>
      <c r="U494" s="208"/>
      <c r="V494" s="208"/>
      <c r="W494" s="208"/>
      <c r="X494" s="208"/>
      <c r="Y494" s="208"/>
      <c r="Z494" s="208"/>
    </row>
    <row r="495" spans="1:26">
      <c r="A495" s="242"/>
      <c r="B495" s="242"/>
      <c r="C495" s="242"/>
      <c r="D495" s="242"/>
      <c r="E495" s="242"/>
      <c r="F495" s="242"/>
      <c r="G495" s="208"/>
      <c r="H495" s="208"/>
      <c r="I495" s="208"/>
      <c r="J495" s="208"/>
      <c r="K495" s="208"/>
      <c r="L495" s="208"/>
      <c r="M495" s="208"/>
      <c r="N495" s="208"/>
      <c r="O495" s="208"/>
      <c r="P495" s="208"/>
      <c r="Q495" s="208"/>
      <c r="R495" s="208"/>
      <c r="S495" s="208"/>
      <c r="T495" s="208"/>
      <c r="U495" s="208"/>
      <c r="V495" s="208"/>
      <c r="W495" s="208"/>
      <c r="X495" s="208"/>
      <c r="Y495" s="208"/>
      <c r="Z495" s="208"/>
    </row>
    <row r="496" spans="1:26">
      <c r="A496" s="242"/>
      <c r="B496" s="242"/>
      <c r="C496" s="242"/>
      <c r="D496" s="242"/>
      <c r="E496" s="242"/>
      <c r="F496" s="242"/>
      <c r="G496" s="208"/>
      <c r="H496" s="208"/>
      <c r="I496" s="208"/>
      <c r="J496" s="208"/>
      <c r="K496" s="208"/>
      <c r="L496" s="208"/>
      <c r="M496" s="208"/>
      <c r="N496" s="208"/>
      <c r="O496" s="208"/>
      <c r="P496" s="208"/>
      <c r="Q496" s="208"/>
      <c r="R496" s="208"/>
      <c r="S496" s="208"/>
      <c r="T496" s="208"/>
      <c r="U496" s="208"/>
      <c r="V496" s="208"/>
      <c r="W496" s="208"/>
      <c r="X496" s="208"/>
      <c r="Y496" s="208"/>
      <c r="Z496" s="208"/>
    </row>
    <row r="497" spans="1:26">
      <c r="A497" s="242"/>
      <c r="B497" s="242"/>
      <c r="C497" s="242"/>
      <c r="D497" s="242"/>
      <c r="E497" s="242"/>
      <c r="F497" s="242"/>
      <c r="G497" s="208"/>
      <c r="H497" s="208"/>
      <c r="I497" s="208"/>
      <c r="J497" s="208"/>
      <c r="K497" s="208"/>
      <c r="L497" s="208"/>
      <c r="M497" s="208"/>
      <c r="N497" s="208"/>
      <c r="O497" s="208"/>
      <c r="P497" s="208"/>
      <c r="Q497" s="208"/>
      <c r="R497" s="208"/>
      <c r="S497" s="208"/>
      <c r="T497" s="208"/>
      <c r="U497" s="208"/>
      <c r="V497" s="208"/>
      <c r="W497" s="208"/>
      <c r="X497" s="208"/>
      <c r="Y497" s="208"/>
      <c r="Z497" s="208"/>
    </row>
    <row r="498" spans="1:26">
      <c r="A498" s="242"/>
      <c r="B498" s="242"/>
      <c r="C498" s="242"/>
      <c r="D498" s="242"/>
      <c r="E498" s="242"/>
      <c r="F498" s="242"/>
      <c r="G498" s="208"/>
      <c r="H498" s="208"/>
      <c r="I498" s="208"/>
      <c r="J498" s="208"/>
      <c r="K498" s="208"/>
      <c r="L498" s="208"/>
      <c r="M498" s="208"/>
      <c r="N498" s="208"/>
      <c r="O498" s="208"/>
      <c r="P498" s="208"/>
      <c r="Q498" s="208"/>
      <c r="R498" s="208"/>
      <c r="S498" s="208"/>
      <c r="T498" s="208"/>
      <c r="U498" s="208"/>
      <c r="V498" s="208"/>
      <c r="W498" s="208"/>
      <c r="X498" s="208"/>
      <c r="Y498" s="208"/>
      <c r="Z498" s="208"/>
    </row>
    <row r="499" spans="1:26">
      <c r="A499" s="242"/>
      <c r="B499" s="242"/>
      <c r="C499" s="242"/>
      <c r="D499" s="242"/>
      <c r="E499" s="242"/>
      <c r="F499" s="242"/>
      <c r="G499" s="208"/>
      <c r="H499" s="208"/>
      <c r="I499" s="208"/>
      <c r="J499" s="208"/>
      <c r="K499" s="208"/>
      <c r="L499" s="208"/>
      <c r="M499" s="208"/>
      <c r="N499" s="208"/>
      <c r="O499" s="208"/>
      <c r="P499" s="208"/>
      <c r="Q499" s="208"/>
      <c r="R499" s="208"/>
      <c r="S499" s="208"/>
      <c r="T499" s="208"/>
      <c r="U499" s="208"/>
      <c r="V499" s="208"/>
      <c r="W499" s="208"/>
      <c r="X499" s="208"/>
      <c r="Y499" s="208"/>
      <c r="Z499" s="208"/>
    </row>
    <row r="500" spans="1:26">
      <c r="A500" s="242"/>
      <c r="B500" s="242"/>
      <c r="C500" s="242"/>
      <c r="D500" s="242"/>
      <c r="E500" s="242"/>
      <c r="F500" s="242"/>
      <c r="G500" s="208"/>
      <c r="H500" s="208"/>
      <c r="I500" s="208"/>
      <c r="J500" s="208"/>
      <c r="K500" s="208"/>
      <c r="L500" s="208"/>
      <c r="M500" s="208"/>
      <c r="N500" s="208"/>
      <c r="O500" s="208"/>
      <c r="P500" s="208"/>
      <c r="Q500" s="208"/>
      <c r="R500" s="208"/>
      <c r="S500" s="208"/>
      <c r="T500" s="208"/>
      <c r="U500" s="208"/>
      <c r="V500" s="208"/>
      <c r="W500" s="208"/>
      <c r="X500" s="208"/>
      <c r="Y500" s="208"/>
      <c r="Z500" s="208"/>
    </row>
    <row r="501" spans="1:26">
      <c r="A501" s="242"/>
      <c r="B501" s="242"/>
      <c r="C501" s="242"/>
      <c r="D501" s="242"/>
      <c r="E501" s="242"/>
      <c r="F501" s="242"/>
      <c r="G501" s="208"/>
      <c r="H501" s="208"/>
      <c r="I501" s="208"/>
      <c r="J501" s="208"/>
      <c r="K501" s="208"/>
      <c r="L501" s="208"/>
      <c r="M501" s="208"/>
      <c r="N501" s="208"/>
      <c r="O501" s="208"/>
      <c r="P501" s="208"/>
      <c r="Q501" s="208"/>
      <c r="R501" s="208"/>
      <c r="S501" s="208"/>
      <c r="T501" s="208"/>
      <c r="U501" s="208"/>
      <c r="V501" s="208"/>
      <c r="W501" s="208"/>
      <c r="X501" s="208"/>
      <c r="Y501" s="208"/>
      <c r="Z501" s="208"/>
    </row>
    <row r="502" spans="1:26">
      <c r="A502" s="242"/>
      <c r="B502" s="242"/>
      <c r="C502" s="242"/>
      <c r="D502" s="242"/>
      <c r="E502" s="242"/>
      <c r="F502" s="242"/>
      <c r="G502" s="208"/>
      <c r="H502" s="208"/>
      <c r="I502" s="208"/>
      <c r="J502" s="208"/>
      <c r="K502" s="208"/>
      <c r="L502" s="208"/>
      <c r="M502" s="208"/>
      <c r="N502" s="208"/>
      <c r="O502" s="208"/>
      <c r="P502" s="208"/>
      <c r="Q502" s="208"/>
      <c r="R502" s="208"/>
      <c r="S502" s="208"/>
      <c r="T502" s="208"/>
      <c r="U502" s="208"/>
      <c r="V502" s="208"/>
      <c r="W502" s="208"/>
      <c r="X502" s="208"/>
      <c r="Y502" s="208"/>
      <c r="Z502" s="208"/>
    </row>
    <row r="503" spans="1:26">
      <c r="A503" s="242"/>
      <c r="B503" s="242"/>
      <c r="C503" s="242"/>
      <c r="D503" s="242"/>
      <c r="E503" s="242"/>
      <c r="F503" s="242"/>
      <c r="G503" s="208"/>
      <c r="H503" s="208"/>
      <c r="I503" s="208"/>
      <c r="J503" s="208"/>
      <c r="K503" s="208"/>
      <c r="L503" s="208"/>
      <c r="M503" s="208"/>
      <c r="N503" s="208"/>
      <c r="O503" s="208"/>
      <c r="P503" s="208"/>
      <c r="Q503" s="208"/>
      <c r="R503" s="208"/>
      <c r="S503" s="208"/>
      <c r="T503" s="208"/>
      <c r="U503" s="208"/>
      <c r="V503" s="208"/>
      <c r="W503" s="208"/>
      <c r="X503" s="208"/>
      <c r="Y503" s="208"/>
      <c r="Z503" s="208"/>
    </row>
    <row r="504" spans="1:26">
      <c r="A504" s="242"/>
      <c r="B504" s="242"/>
      <c r="C504" s="242"/>
      <c r="D504" s="242"/>
      <c r="E504" s="242"/>
      <c r="F504" s="242"/>
      <c r="G504" s="208"/>
      <c r="H504" s="208"/>
      <c r="I504" s="208"/>
      <c r="J504" s="208"/>
      <c r="K504" s="208"/>
      <c r="L504" s="208"/>
      <c r="M504" s="208"/>
      <c r="N504" s="208"/>
      <c r="O504" s="208"/>
      <c r="P504" s="208"/>
      <c r="Q504" s="208"/>
      <c r="R504" s="208"/>
      <c r="S504" s="208"/>
      <c r="T504" s="208"/>
      <c r="U504" s="208"/>
      <c r="V504" s="208"/>
      <c r="W504" s="208"/>
      <c r="X504" s="208"/>
      <c r="Y504" s="208"/>
      <c r="Z504" s="208"/>
    </row>
    <row r="505" spans="1:26">
      <c r="A505" s="242"/>
      <c r="B505" s="242"/>
      <c r="C505" s="242"/>
      <c r="D505" s="242"/>
      <c r="E505" s="242"/>
      <c r="F505" s="242"/>
      <c r="G505" s="208"/>
      <c r="H505" s="208"/>
      <c r="I505" s="208"/>
      <c r="J505" s="208"/>
      <c r="K505" s="208"/>
      <c r="L505" s="208"/>
      <c r="M505" s="208"/>
      <c r="N505" s="208"/>
      <c r="O505" s="208"/>
      <c r="P505" s="208"/>
      <c r="Q505" s="208"/>
      <c r="R505" s="208"/>
      <c r="S505" s="208"/>
      <c r="T505" s="208"/>
      <c r="U505" s="208"/>
      <c r="V505" s="208"/>
      <c r="W505" s="208"/>
      <c r="X505" s="208"/>
      <c r="Y505" s="208"/>
      <c r="Z505" s="208"/>
    </row>
    <row r="506" spans="1:26">
      <c r="A506" s="242"/>
      <c r="B506" s="242"/>
      <c r="C506" s="242"/>
      <c r="D506" s="242"/>
      <c r="E506" s="242"/>
      <c r="F506" s="242"/>
      <c r="G506" s="208"/>
      <c r="H506" s="208"/>
      <c r="I506" s="208"/>
      <c r="J506" s="208"/>
      <c r="K506" s="208"/>
      <c r="L506" s="208"/>
      <c r="M506" s="208"/>
      <c r="N506" s="208"/>
      <c r="O506" s="208"/>
      <c r="P506" s="208"/>
      <c r="Q506" s="208"/>
      <c r="R506" s="208"/>
      <c r="S506" s="208"/>
      <c r="T506" s="208"/>
      <c r="U506" s="208"/>
      <c r="V506" s="208"/>
      <c r="W506" s="208"/>
      <c r="X506" s="208"/>
      <c r="Y506" s="208"/>
      <c r="Z506" s="208"/>
    </row>
    <row r="507" spans="1:26">
      <c r="A507" s="242"/>
      <c r="B507" s="242"/>
      <c r="C507" s="242"/>
      <c r="D507" s="242"/>
      <c r="E507" s="242"/>
      <c r="F507" s="242"/>
      <c r="G507" s="208"/>
      <c r="H507" s="208"/>
      <c r="I507" s="208"/>
      <c r="J507" s="208"/>
      <c r="K507" s="208"/>
      <c r="L507" s="208"/>
      <c r="M507" s="208"/>
      <c r="N507" s="208"/>
      <c r="O507" s="208"/>
      <c r="P507" s="208"/>
      <c r="Q507" s="208"/>
      <c r="R507" s="208"/>
      <c r="S507" s="208"/>
      <c r="T507" s="208"/>
      <c r="U507" s="208"/>
      <c r="V507" s="208"/>
      <c r="W507" s="208"/>
      <c r="X507" s="208"/>
      <c r="Y507" s="208"/>
      <c r="Z507" s="208"/>
    </row>
    <row r="508" spans="1:26">
      <c r="A508" s="242"/>
      <c r="B508" s="242"/>
      <c r="C508" s="242"/>
      <c r="D508" s="242"/>
      <c r="E508" s="242"/>
      <c r="F508" s="242"/>
      <c r="G508" s="208"/>
      <c r="H508" s="208"/>
      <c r="I508" s="208"/>
      <c r="J508" s="208"/>
      <c r="K508" s="208"/>
      <c r="L508" s="208"/>
      <c r="M508" s="208"/>
      <c r="N508" s="208"/>
      <c r="O508" s="208"/>
      <c r="P508" s="208"/>
      <c r="Q508" s="208"/>
      <c r="R508" s="208"/>
      <c r="S508" s="208"/>
      <c r="T508" s="208"/>
      <c r="U508" s="208"/>
      <c r="V508" s="208"/>
      <c r="W508" s="208"/>
      <c r="X508" s="208"/>
      <c r="Y508" s="208"/>
      <c r="Z508" s="208"/>
    </row>
    <row r="509" spans="1:26">
      <c r="A509" s="242"/>
      <c r="B509" s="242"/>
      <c r="C509" s="242"/>
      <c r="D509" s="242"/>
      <c r="E509" s="242"/>
      <c r="F509" s="242"/>
      <c r="G509" s="208"/>
      <c r="H509" s="208"/>
      <c r="I509" s="208"/>
      <c r="J509" s="208"/>
      <c r="K509" s="208"/>
      <c r="L509" s="208"/>
      <c r="M509" s="208"/>
      <c r="N509" s="208"/>
      <c r="O509" s="208"/>
      <c r="P509" s="208"/>
      <c r="Q509" s="208"/>
      <c r="R509" s="208"/>
      <c r="S509" s="208"/>
      <c r="T509" s="208"/>
      <c r="U509" s="208"/>
      <c r="V509" s="208"/>
      <c r="W509" s="208"/>
      <c r="X509" s="208"/>
      <c r="Y509" s="208"/>
      <c r="Z509" s="208"/>
    </row>
    <row r="510" spans="1:26">
      <c r="A510" s="242"/>
      <c r="B510" s="242"/>
      <c r="C510" s="242"/>
      <c r="D510" s="242"/>
      <c r="E510" s="242"/>
      <c r="F510" s="242"/>
      <c r="G510" s="208"/>
      <c r="H510" s="208"/>
      <c r="I510" s="208"/>
      <c r="J510" s="208"/>
      <c r="K510" s="208"/>
      <c r="L510" s="208"/>
      <c r="M510" s="208"/>
      <c r="N510" s="208"/>
      <c r="O510" s="208"/>
      <c r="P510" s="208"/>
      <c r="Q510" s="208"/>
      <c r="R510" s="208"/>
      <c r="S510" s="208"/>
      <c r="T510" s="208"/>
      <c r="U510" s="208"/>
      <c r="V510" s="208"/>
      <c r="W510" s="208"/>
      <c r="X510" s="208"/>
      <c r="Y510" s="208"/>
      <c r="Z510" s="208"/>
    </row>
    <row r="511" spans="1:26">
      <c r="A511" s="242"/>
      <c r="B511" s="242"/>
      <c r="C511" s="242"/>
      <c r="D511" s="242"/>
      <c r="E511" s="242"/>
      <c r="F511" s="242"/>
      <c r="G511" s="208"/>
      <c r="H511" s="208"/>
      <c r="I511" s="208"/>
      <c r="J511" s="208"/>
      <c r="K511" s="208"/>
      <c r="L511" s="208"/>
      <c r="M511" s="208"/>
      <c r="N511" s="208"/>
      <c r="O511" s="208"/>
      <c r="P511" s="208"/>
      <c r="Q511" s="208"/>
      <c r="R511" s="208"/>
      <c r="S511" s="208"/>
      <c r="T511" s="208"/>
      <c r="U511" s="208"/>
      <c r="V511" s="208"/>
      <c r="W511" s="208"/>
      <c r="X511" s="208"/>
      <c r="Y511" s="208"/>
      <c r="Z511" s="208"/>
    </row>
    <row r="512" spans="1:26">
      <c r="A512" s="242"/>
      <c r="B512" s="242"/>
      <c r="C512" s="242"/>
      <c r="D512" s="242"/>
      <c r="E512" s="242"/>
      <c r="F512" s="242"/>
      <c r="G512" s="208"/>
      <c r="H512" s="208"/>
      <c r="I512" s="208"/>
      <c r="J512" s="208"/>
      <c r="K512" s="208"/>
      <c r="L512" s="208"/>
      <c r="M512" s="208"/>
      <c r="N512" s="208"/>
      <c r="O512" s="208"/>
      <c r="P512" s="208"/>
      <c r="Q512" s="208"/>
      <c r="R512" s="208"/>
      <c r="S512" s="208"/>
      <c r="T512" s="208"/>
      <c r="U512" s="208"/>
      <c r="V512" s="208"/>
      <c r="W512" s="208"/>
      <c r="X512" s="208"/>
      <c r="Y512" s="208"/>
      <c r="Z512" s="208"/>
    </row>
    <row r="513" spans="1:26">
      <c r="A513" s="242"/>
      <c r="B513" s="242"/>
      <c r="C513" s="242"/>
      <c r="D513" s="242"/>
      <c r="E513" s="242"/>
      <c r="F513" s="242"/>
      <c r="G513" s="208"/>
      <c r="H513" s="208"/>
      <c r="I513" s="208"/>
      <c r="J513" s="208"/>
      <c r="K513" s="208"/>
      <c r="L513" s="208"/>
      <c r="M513" s="208"/>
      <c r="N513" s="208"/>
      <c r="O513" s="208"/>
      <c r="P513" s="208"/>
      <c r="Q513" s="208"/>
      <c r="R513" s="208"/>
      <c r="S513" s="208"/>
      <c r="T513" s="208"/>
      <c r="U513" s="208"/>
      <c r="V513" s="208"/>
      <c r="W513" s="208"/>
      <c r="X513" s="208"/>
      <c r="Y513" s="208"/>
      <c r="Z513" s="208"/>
    </row>
    <row r="514" spans="1:26">
      <c r="A514" s="242"/>
      <c r="B514" s="242"/>
      <c r="C514" s="242"/>
      <c r="D514" s="242"/>
      <c r="E514" s="242"/>
      <c r="F514" s="242"/>
      <c r="G514" s="208"/>
      <c r="H514" s="208"/>
      <c r="I514" s="208"/>
      <c r="J514" s="208"/>
      <c r="K514" s="208"/>
      <c r="L514" s="208"/>
      <c r="M514" s="208"/>
      <c r="N514" s="208"/>
      <c r="O514" s="208"/>
      <c r="P514" s="208"/>
      <c r="Q514" s="208"/>
      <c r="R514" s="208"/>
      <c r="S514" s="208"/>
      <c r="T514" s="208"/>
      <c r="U514" s="208"/>
      <c r="V514" s="208"/>
      <c r="W514" s="208"/>
      <c r="X514" s="208"/>
      <c r="Y514" s="208"/>
      <c r="Z514" s="208"/>
    </row>
    <row r="515" spans="1:26">
      <c r="A515" s="242"/>
      <c r="B515" s="242"/>
      <c r="C515" s="242"/>
      <c r="D515" s="242"/>
      <c r="E515" s="242"/>
      <c r="F515" s="242"/>
      <c r="G515" s="208"/>
      <c r="H515" s="208"/>
      <c r="I515" s="208"/>
      <c r="J515" s="208"/>
      <c r="K515" s="208"/>
      <c r="L515" s="208"/>
      <c r="M515" s="208"/>
      <c r="N515" s="208"/>
      <c r="O515" s="208"/>
      <c r="P515" s="208"/>
      <c r="Q515" s="208"/>
      <c r="R515" s="208"/>
      <c r="S515" s="208"/>
      <c r="T515" s="208"/>
      <c r="U515" s="208"/>
      <c r="V515" s="208"/>
      <c r="W515" s="208"/>
      <c r="X515" s="208"/>
      <c r="Y515" s="208"/>
      <c r="Z515" s="208"/>
    </row>
    <row r="516" spans="1:26">
      <c r="A516" s="242"/>
      <c r="B516" s="242"/>
      <c r="C516" s="242"/>
      <c r="D516" s="242"/>
      <c r="E516" s="242"/>
      <c r="F516" s="242"/>
      <c r="G516" s="208"/>
      <c r="H516" s="208"/>
      <c r="I516" s="208"/>
      <c r="J516" s="208"/>
      <c r="K516" s="208"/>
      <c r="L516" s="208"/>
      <c r="M516" s="208"/>
      <c r="N516" s="208"/>
      <c r="O516" s="208"/>
      <c r="P516" s="208"/>
      <c r="Q516" s="208"/>
      <c r="R516" s="208"/>
      <c r="S516" s="208"/>
      <c r="T516" s="208"/>
      <c r="U516" s="208"/>
      <c r="V516" s="208"/>
      <c r="W516" s="208"/>
      <c r="X516" s="208"/>
      <c r="Y516" s="208"/>
      <c r="Z516" s="208"/>
    </row>
    <row r="517" spans="1:26">
      <c r="A517" s="242"/>
      <c r="B517" s="242"/>
      <c r="C517" s="242"/>
      <c r="D517" s="242"/>
      <c r="E517" s="242"/>
      <c r="F517" s="242"/>
      <c r="G517" s="208"/>
      <c r="H517" s="208"/>
      <c r="I517" s="208"/>
      <c r="J517" s="208"/>
      <c r="K517" s="208"/>
      <c r="L517" s="208"/>
      <c r="M517" s="208"/>
      <c r="N517" s="208"/>
      <c r="O517" s="208"/>
      <c r="P517" s="208"/>
      <c r="Q517" s="208"/>
      <c r="R517" s="208"/>
      <c r="S517" s="208"/>
      <c r="T517" s="208"/>
      <c r="U517" s="208"/>
      <c r="V517" s="208"/>
      <c r="W517" s="208"/>
      <c r="X517" s="208"/>
      <c r="Y517" s="208"/>
      <c r="Z517" s="208"/>
    </row>
    <row r="518" spans="1:26">
      <c r="A518" s="242"/>
      <c r="B518" s="242"/>
      <c r="C518" s="242"/>
      <c r="D518" s="242"/>
      <c r="E518" s="242"/>
      <c r="F518" s="242"/>
      <c r="G518" s="208"/>
      <c r="H518" s="208"/>
      <c r="I518" s="208"/>
      <c r="J518" s="208"/>
      <c r="K518" s="208"/>
      <c r="L518" s="208"/>
      <c r="M518" s="208"/>
      <c r="N518" s="208"/>
      <c r="O518" s="208"/>
      <c r="P518" s="208"/>
      <c r="Q518" s="208"/>
      <c r="R518" s="208"/>
      <c r="S518" s="208"/>
      <c r="T518" s="208"/>
      <c r="U518" s="208"/>
      <c r="V518" s="208"/>
      <c r="W518" s="208"/>
      <c r="X518" s="208"/>
      <c r="Y518" s="208"/>
      <c r="Z518" s="208"/>
    </row>
    <row r="519" spans="1:26">
      <c r="A519" s="242"/>
      <c r="B519" s="242"/>
      <c r="C519" s="242"/>
      <c r="D519" s="242"/>
      <c r="E519" s="242"/>
      <c r="F519" s="242"/>
      <c r="G519" s="208"/>
      <c r="H519" s="208"/>
      <c r="I519" s="208"/>
      <c r="J519" s="208"/>
      <c r="K519" s="208"/>
      <c r="L519" s="208"/>
      <c r="M519" s="208"/>
      <c r="N519" s="208"/>
      <c r="O519" s="208"/>
      <c r="P519" s="208"/>
      <c r="Q519" s="208"/>
      <c r="R519" s="208"/>
      <c r="S519" s="208"/>
      <c r="T519" s="208"/>
      <c r="U519" s="208"/>
      <c r="V519" s="208"/>
      <c r="W519" s="208"/>
      <c r="X519" s="208"/>
      <c r="Y519" s="208"/>
      <c r="Z519" s="208"/>
    </row>
    <row r="520" spans="1:26">
      <c r="A520" s="242"/>
      <c r="B520" s="242"/>
      <c r="C520" s="242"/>
      <c r="D520" s="242"/>
      <c r="E520" s="242"/>
      <c r="F520" s="242"/>
      <c r="G520" s="208"/>
      <c r="H520" s="208"/>
      <c r="I520" s="208"/>
      <c r="J520" s="208"/>
      <c r="K520" s="208"/>
      <c r="L520" s="208"/>
      <c r="M520" s="208"/>
      <c r="N520" s="208"/>
      <c r="O520" s="208"/>
      <c r="P520" s="208"/>
      <c r="Q520" s="208"/>
      <c r="R520" s="208"/>
      <c r="S520" s="208"/>
      <c r="T520" s="208"/>
      <c r="U520" s="208"/>
      <c r="V520" s="208"/>
      <c r="W520" s="208"/>
      <c r="X520" s="208"/>
      <c r="Y520" s="208"/>
      <c r="Z520" s="208"/>
    </row>
    <row r="521" spans="1:26">
      <c r="A521" s="242"/>
      <c r="B521" s="242"/>
      <c r="C521" s="242"/>
      <c r="D521" s="242"/>
      <c r="E521" s="242"/>
      <c r="F521" s="242"/>
      <c r="G521" s="208"/>
      <c r="H521" s="208"/>
      <c r="I521" s="208"/>
      <c r="J521" s="208"/>
      <c r="K521" s="208"/>
      <c r="L521" s="208"/>
      <c r="M521" s="208"/>
      <c r="N521" s="208"/>
      <c r="O521" s="208"/>
      <c r="P521" s="208"/>
      <c r="Q521" s="208"/>
      <c r="R521" s="208"/>
      <c r="S521" s="208"/>
      <c r="T521" s="208"/>
      <c r="U521" s="208"/>
      <c r="V521" s="208"/>
      <c r="W521" s="208"/>
      <c r="X521" s="208"/>
      <c r="Y521" s="208"/>
      <c r="Z521" s="208"/>
    </row>
    <row r="522" spans="1:26">
      <c r="A522" s="242"/>
      <c r="B522" s="242"/>
      <c r="C522" s="242"/>
      <c r="D522" s="242"/>
      <c r="E522" s="242"/>
      <c r="F522" s="242"/>
      <c r="G522" s="208"/>
      <c r="H522" s="208"/>
      <c r="I522" s="208"/>
      <c r="J522" s="208"/>
      <c r="K522" s="208"/>
      <c r="L522" s="208"/>
      <c r="M522" s="208"/>
      <c r="N522" s="208"/>
      <c r="O522" s="208"/>
      <c r="P522" s="208"/>
      <c r="Q522" s="208"/>
      <c r="R522" s="208"/>
      <c r="S522" s="208"/>
      <c r="T522" s="208"/>
      <c r="U522" s="208"/>
      <c r="V522" s="208"/>
      <c r="W522" s="208"/>
      <c r="X522" s="208"/>
      <c r="Y522" s="208"/>
      <c r="Z522" s="208"/>
    </row>
    <row r="523" spans="1:26">
      <c r="A523" s="242"/>
      <c r="B523" s="242"/>
      <c r="C523" s="242"/>
      <c r="D523" s="242"/>
      <c r="E523" s="242"/>
      <c r="F523" s="242"/>
      <c r="G523" s="208"/>
      <c r="H523" s="208"/>
      <c r="I523" s="208"/>
      <c r="J523" s="208"/>
      <c r="K523" s="208"/>
      <c r="L523" s="208"/>
      <c r="M523" s="208"/>
      <c r="N523" s="208"/>
      <c r="O523" s="208"/>
      <c r="P523" s="208"/>
      <c r="Q523" s="208"/>
      <c r="R523" s="208"/>
      <c r="S523" s="208"/>
      <c r="T523" s="208"/>
      <c r="U523" s="208"/>
      <c r="V523" s="208"/>
      <c r="W523" s="208"/>
      <c r="X523" s="208"/>
      <c r="Y523" s="208"/>
      <c r="Z523" s="208"/>
    </row>
    <row r="524" spans="1:26">
      <c r="A524" s="242"/>
      <c r="B524" s="242"/>
      <c r="C524" s="242"/>
      <c r="D524" s="242"/>
      <c r="E524" s="242"/>
      <c r="F524" s="242"/>
      <c r="G524" s="208"/>
      <c r="H524" s="208"/>
      <c r="I524" s="208"/>
      <c r="J524" s="208"/>
      <c r="K524" s="208"/>
      <c r="L524" s="208"/>
      <c r="M524" s="208"/>
      <c r="N524" s="208"/>
      <c r="O524" s="208"/>
      <c r="P524" s="208"/>
      <c r="Q524" s="208"/>
      <c r="R524" s="208"/>
      <c r="S524" s="208"/>
      <c r="T524" s="208"/>
      <c r="U524" s="208"/>
      <c r="V524" s="208"/>
      <c r="W524" s="208"/>
      <c r="X524" s="208"/>
      <c r="Y524" s="208"/>
      <c r="Z524" s="208"/>
    </row>
    <row r="525" spans="1:26">
      <c r="A525" s="242"/>
      <c r="B525" s="242"/>
      <c r="C525" s="242"/>
      <c r="D525" s="242"/>
      <c r="E525" s="242"/>
      <c r="F525" s="242"/>
      <c r="G525" s="208"/>
      <c r="H525" s="208"/>
      <c r="I525" s="208"/>
      <c r="J525" s="208"/>
      <c r="K525" s="208"/>
      <c r="L525" s="208"/>
      <c r="M525" s="208"/>
      <c r="N525" s="208"/>
      <c r="O525" s="208"/>
      <c r="P525" s="208"/>
      <c r="Q525" s="208"/>
      <c r="R525" s="208"/>
      <c r="S525" s="208"/>
      <c r="T525" s="208"/>
      <c r="U525" s="208"/>
      <c r="V525" s="208"/>
      <c r="W525" s="208"/>
      <c r="X525" s="208"/>
      <c r="Y525" s="208"/>
      <c r="Z525" s="208"/>
    </row>
    <row r="526" spans="1:26">
      <c r="A526" s="242"/>
      <c r="B526" s="242"/>
      <c r="C526" s="242"/>
      <c r="D526" s="242"/>
      <c r="E526" s="242"/>
      <c r="F526" s="242"/>
      <c r="G526" s="208"/>
      <c r="H526" s="208"/>
      <c r="I526" s="208"/>
      <c r="J526" s="208"/>
      <c r="K526" s="208"/>
      <c r="L526" s="208"/>
      <c r="M526" s="208"/>
      <c r="N526" s="208"/>
      <c r="O526" s="208"/>
      <c r="P526" s="208"/>
      <c r="Q526" s="208"/>
      <c r="R526" s="208"/>
      <c r="S526" s="208"/>
      <c r="T526" s="208"/>
      <c r="U526" s="208"/>
      <c r="V526" s="208"/>
      <c r="W526" s="208"/>
      <c r="X526" s="208"/>
      <c r="Y526" s="208"/>
      <c r="Z526" s="208"/>
    </row>
    <row r="527" spans="1:26">
      <c r="A527" s="242"/>
      <c r="B527" s="242"/>
      <c r="C527" s="242"/>
      <c r="D527" s="242"/>
      <c r="E527" s="242"/>
      <c r="F527" s="242"/>
      <c r="G527" s="208"/>
      <c r="H527" s="208"/>
      <c r="I527" s="208"/>
      <c r="J527" s="208"/>
      <c r="K527" s="208"/>
      <c r="L527" s="208"/>
      <c r="M527" s="208"/>
      <c r="N527" s="208"/>
      <c r="O527" s="208"/>
      <c r="P527" s="208"/>
      <c r="Q527" s="208"/>
      <c r="R527" s="208"/>
      <c r="S527" s="208"/>
      <c r="T527" s="208"/>
      <c r="U527" s="208"/>
      <c r="V527" s="208"/>
      <c r="W527" s="208"/>
      <c r="X527" s="208"/>
      <c r="Y527" s="208"/>
      <c r="Z527" s="208"/>
    </row>
    <row r="528" spans="1:26">
      <c r="A528" s="242"/>
      <c r="B528" s="242"/>
      <c r="C528" s="242"/>
      <c r="D528" s="242"/>
      <c r="E528" s="242"/>
      <c r="F528" s="242"/>
      <c r="G528" s="208"/>
      <c r="H528" s="208"/>
      <c r="I528" s="208"/>
      <c r="J528" s="208"/>
      <c r="K528" s="208"/>
      <c r="L528" s="208"/>
      <c r="M528" s="208"/>
      <c r="N528" s="208"/>
      <c r="O528" s="208"/>
      <c r="P528" s="208"/>
      <c r="Q528" s="208"/>
      <c r="R528" s="208"/>
      <c r="S528" s="208"/>
      <c r="T528" s="208"/>
      <c r="U528" s="208"/>
      <c r="V528" s="208"/>
      <c r="W528" s="208"/>
      <c r="X528" s="208"/>
      <c r="Y528" s="208"/>
      <c r="Z528" s="208"/>
    </row>
    <row r="529" spans="1:26">
      <c r="A529" s="242"/>
      <c r="B529" s="242"/>
      <c r="C529" s="242"/>
      <c r="D529" s="242"/>
      <c r="E529" s="242"/>
      <c r="F529" s="242"/>
      <c r="G529" s="208"/>
      <c r="H529" s="208"/>
      <c r="I529" s="208"/>
      <c r="J529" s="208"/>
      <c r="K529" s="208"/>
      <c r="L529" s="208"/>
      <c r="M529" s="208"/>
      <c r="N529" s="208"/>
      <c r="O529" s="208"/>
      <c r="P529" s="208"/>
      <c r="Q529" s="208"/>
      <c r="R529" s="208"/>
      <c r="S529" s="208"/>
      <c r="T529" s="208"/>
      <c r="U529" s="208"/>
      <c r="V529" s="208"/>
      <c r="W529" s="208"/>
      <c r="X529" s="208"/>
      <c r="Y529" s="208"/>
      <c r="Z529" s="208"/>
    </row>
    <row r="530" spans="1:26">
      <c r="A530" s="242"/>
      <c r="B530" s="242"/>
      <c r="C530" s="242"/>
      <c r="D530" s="242"/>
      <c r="E530" s="242"/>
      <c r="F530" s="242"/>
      <c r="G530" s="208"/>
      <c r="H530" s="208"/>
      <c r="I530" s="208"/>
      <c r="J530" s="208"/>
      <c r="K530" s="208"/>
      <c r="L530" s="208"/>
      <c r="M530" s="208"/>
      <c r="N530" s="208"/>
      <c r="O530" s="208"/>
      <c r="P530" s="208"/>
      <c r="Q530" s="208"/>
      <c r="R530" s="208"/>
      <c r="S530" s="208"/>
      <c r="T530" s="208"/>
      <c r="U530" s="208"/>
      <c r="V530" s="208"/>
      <c r="W530" s="208"/>
      <c r="X530" s="208"/>
      <c r="Y530" s="208"/>
      <c r="Z530" s="208"/>
    </row>
    <row r="531" spans="1:26">
      <c r="A531" s="242"/>
      <c r="B531" s="242"/>
      <c r="C531" s="242"/>
      <c r="D531" s="242"/>
      <c r="E531" s="242"/>
      <c r="F531" s="242"/>
      <c r="G531" s="208"/>
      <c r="H531" s="208"/>
      <c r="I531" s="208"/>
      <c r="J531" s="208"/>
      <c r="K531" s="208"/>
      <c r="L531" s="208"/>
      <c r="M531" s="208"/>
      <c r="N531" s="208"/>
      <c r="O531" s="208"/>
      <c r="P531" s="208"/>
      <c r="Q531" s="208"/>
      <c r="R531" s="208"/>
      <c r="S531" s="208"/>
      <c r="T531" s="208"/>
      <c r="U531" s="208"/>
      <c r="V531" s="208"/>
      <c r="W531" s="208"/>
      <c r="X531" s="208"/>
      <c r="Y531" s="208"/>
      <c r="Z531" s="208"/>
    </row>
    <row r="532" spans="1:26">
      <c r="A532" s="242"/>
      <c r="B532" s="242"/>
      <c r="C532" s="242"/>
      <c r="D532" s="242"/>
      <c r="E532" s="242"/>
      <c r="F532" s="242"/>
      <c r="G532" s="208"/>
      <c r="H532" s="208"/>
      <c r="I532" s="208"/>
      <c r="J532" s="208"/>
      <c r="K532" s="208"/>
      <c r="L532" s="208"/>
      <c r="M532" s="208"/>
      <c r="N532" s="208"/>
      <c r="O532" s="208"/>
      <c r="P532" s="208"/>
      <c r="Q532" s="208"/>
      <c r="R532" s="208"/>
      <c r="S532" s="208"/>
      <c r="T532" s="208"/>
      <c r="U532" s="208"/>
      <c r="V532" s="208"/>
      <c r="W532" s="208"/>
      <c r="X532" s="208"/>
      <c r="Y532" s="208"/>
      <c r="Z532" s="208"/>
    </row>
    <row r="533" spans="1:26">
      <c r="A533" s="242"/>
      <c r="B533" s="242"/>
      <c r="C533" s="242"/>
      <c r="D533" s="242"/>
      <c r="E533" s="242"/>
      <c r="F533" s="242"/>
      <c r="G533" s="208"/>
      <c r="H533" s="208"/>
      <c r="I533" s="208"/>
      <c r="J533" s="208"/>
      <c r="K533" s="208"/>
      <c r="L533" s="208"/>
      <c r="M533" s="208"/>
      <c r="N533" s="208"/>
      <c r="O533" s="208"/>
      <c r="P533" s="208"/>
      <c r="Q533" s="208"/>
      <c r="R533" s="208"/>
      <c r="S533" s="208"/>
      <c r="T533" s="208"/>
      <c r="U533" s="208"/>
      <c r="V533" s="208"/>
      <c r="W533" s="208"/>
      <c r="X533" s="208"/>
      <c r="Y533" s="208"/>
      <c r="Z533" s="208"/>
    </row>
    <row r="534" spans="1:26">
      <c r="A534" s="242"/>
      <c r="B534" s="242"/>
      <c r="C534" s="242"/>
      <c r="D534" s="242"/>
      <c r="E534" s="242"/>
      <c r="F534" s="242"/>
      <c r="G534" s="208"/>
      <c r="H534" s="208"/>
      <c r="I534" s="208"/>
      <c r="J534" s="208"/>
      <c r="K534" s="208"/>
      <c r="L534" s="208"/>
      <c r="M534" s="208"/>
      <c r="N534" s="208"/>
      <c r="O534" s="208"/>
      <c r="P534" s="208"/>
      <c r="Q534" s="208"/>
      <c r="R534" s="208"/>
      <c r="S534" s="208"/>
      <c r="T534" s="208"/>
      <c r="U534" s="208"/>
      <c r="V534" s="208"/>
      <c r="W534" s="208"/>
      <c r="X534" s="208"/>
      <c r="Y534" s="208"/>
      <c r="Z534" s="208"/>
    </row>
    <row r="535" spans="1:26">
      <c r="A535" s="242"/>
      <c r="B535" s="242"/>
      <c r="C535" s="242"/>
      <c r="D535" s="242"/>
      <c r="E535" s="242"/>
      <c r="F535" s="242"/>
      <c r="G535" s="208"/>
      <c r="H535" s="208"/>
      <c r="I535" s="208"/>
      <c r="J535" s="208"/>
      <c r="K535" s="208"/>
      <c r="L535" s="208"/>
      <c r="M535" s="208"/>
      <c r="N535" s="208"/>
      <c r="O535" s="208"/>
      <c r="P535" s="208"/>
      <c r="Q535" s="208"/>
      <c r="R535" s="208"/>
      <c r="S535" s="208"/>
      <c r="T535" s="208"/>
      <c r="U535" s="208"/>
      <c r="V535" s="208"/>
      <c r="W535" s="208"/>
      <c r="X535" s="208"/>
      <c r="Y535" s="208"/>
      <c r="Z535" s="208"/>
    </row>
    <row r="536" spans="1:26">
      <c r="A536" s="242"/>
      <c r="B536" s="242"/>
      <c r="C536" s="242"/>
      <c r="D536" s="242"/>
      <c r="E536" s="242"/>
      <c r="F536" s="242"/>
      <c r="G536" s="208"/>
      <c r="H536" s="208"/>
      <c r="I536" s="208"/>
      <c r="J536" s="208"/>
      <c r="K536" s="208"/>
      <c r="L536" s="208"/>
      <c r="M536" s="208"/>
      <c r="N536" s="208"/>
      <c r="O536" s="208"/>
      <c r="P536" s="208"/>
      <c r="Q536" s="208"/>
      <c r="R536" s="208"/>
      <c r="S536" s="208"/>
      <c r="T536" s="208"/>
      <c r="U536" s="208"/>
      <c r="V536" s="208"/>
      <c r="W536" s="208"/>
      <c r="X536" s="208"/>
      <c r="Y536" s="208"/>
      <c r="Z536" s="208"/>
    </row>
    <row r="537" spans="1:26">
      <c r="A537" s="242"/>
      <c r="B537" s="242"/>
      <c r="C537" s="242"/>
      <c r="D537" s="242"/>
      <c r="E537" s="242"/>
      <c r="F537" s="242"/>
      <c r="G537" s="208"/>
      <c r="H537" s="208"/>
      <c r="I537" s="208"/>
      <c r="J537" s="208"/>
      <c r="K537" s="208"/>
      <c r="L537" s="208"/>
      <c r="M537" s="208"/>
      <c r="N537" s="208"/>
      <c r="O537" s="208"/>
      <c r="P537" s="208"/>
      <c r="Q537" s="208"/>
      <c r="R537" s="208"/>
      <c r="S537" s="208"/>
      <c r="T537" s="208"/>
      <c r="U537" s="208"/>
      <c r="V537" s="208"/>
      <c r="W537" s="208"/>
      <c r="X537" s="208"/>
      <c r="Y537" s="208"/>
      <c r="Z537" s="208"/>
    </row>
    <row r="538" spans="1:26">
      <c r="A538" s="242"/>
      <c r="B538" s="242"/>
      <c r="C538" s="242"/>
      <c r="D538" s="242"/>
      <c r="E538" s="242"/>
      <c r="F538" s="242"/>
      <c r="G538" s="208"/>
      <c r="H538" s="208"/>
      <c r="I538" s="208"/>
      <c r="J538" s="208"/>
      <c r="K538" s="208"/>
      <c r="L538" s="208"/>
      <c r="M538" s="208"/>
      <c r="N538" s="208"/>
      <c r="O538" s="208"/>
      <c r="P538" s="208"/>
      <c r="Q538" s="208"/>
      <c r="R538" s="208"/>
      <c r="S538" s="208"/>
      <c r="T538" s="208"/>
      <c r="U538" s="208"/>
      <c r="V538" s="208"/>
      <c r="W538" s="208"/>
      <c r="X538" s="208"/>
      <c r="Y538" s="208"/>
      <c r="Z538" s="208"/>
    </row>
    <row r="539" spans="1:26">
      <c r="A539" s="242"/>
      <c r="B539" s="242"/>
      <c r="C539" s="242"/>
      <c r="D539" s="242"/>
      <c r="E539" s="242"/>
      <c r="F539" s="242"/>
      <c r="G539" s="208"/>
      <c r="H539" s="208"/>
      <c r="I539" s="208"/>
      <c r="J539" s="208"/>
      <c r="K539" s="208"/>
      <c r="L539" s="208"/>
      <c r="M539" s="208"/>
      <c r="N539" s="208"/>
      <c r="O539" s="208"/>
      <c r="P539" s="208"/>
      <c r="Q539" s="208"/>
      <c r="R539" s="208"/>
      <c r="S539" s="208"/>
      <c r="T539" s="208"/>
      <c r="U539" s="208"/>
      <c r="V539" s="208"/>
      <c r="W539" s="208"/>
      <c r="X539" s="208"/>
      <c r="Y539" s="208"/>
      <c r="Z539" s="208"/>
    </row>
    <row r="540" spans="1:26">
      <c r="A540" s="242"/>
      <c r="B540" s="242"/>
      <c r="C540" s="242"/>
      <c r="D540" s="242"/>
      <c r="E540" s="242"/>
      <c r="F540" s="242"/>
      <c r="G540" s="208"/>
      <c r="H540" s="208"/>
      <c r="I540" s="208"/>
      <c r="J540" s="208"/>
      <c r="K540" s="208"/>
      <c r="L540" s="208"/>
      <c r="M540" s="208"/>
      <c r="N540" s="208"/>
      <c r="O540" s="208"/>
      <c r="P540" s="208"/>
      <c r="Q540" s="208"/>
      <c r="R540" s="208"/>
      <c r="S540" s="208"/>
      <c r="T540" s="208"/>
      <c r="U540" s="208"/>
      <c r="V540" s="208"/>
      <c r="W540" s="208"/>
      <c r="X540" s="208"/>
      <c r="Y540" s="208"/>
      <c r="Z540" s="208"/>
    </row>
    <row r="541" spans="1:26">
      <c r="A541" s="242"/>
      <c r="B541" s="242"/>
      <c r="C541" s="242"/>
      <c r="D541" s="242"/>
      <c r="E541" s="242"/>
      <c r="F541" s="242"/>
      <c r="G541" s="208"/>
      <c r="H541" s="208"/>
      <c r="I541" s="208"/>
      <c r="J541" s="208"/>
      <c r="K541" s="208"/>
      <c r="L541" s="208"/>
      <c r="M541" s="208"/>
      <c r="N541" s="208"/>
      <c r="O541" s="208"/>
      <c r="P541" s="208"/>
      <c r="Q541" s="208"/>
      <c r="R541" s="208"/>
      <c r="S541" s="208"/>
      <c r="T541" s="208"/>
      <c r="U541" s="208"/>
      <c r="V541" s="208"/>
      <c r="W541" s="208"/>
      <c r="X541" s="208"/>
      <c r="Y541" s="208"/>
      <c r="Z541" s="208"/>
    </row>
    <row r="542" spans="1:26">
      <c r="A542" s="242"/>
      <c r="B542" s="242"/>
      <c r="C542" s="242"/>
      <c r="D542" s="242"/>
      <c r="E542" s="242"/>
      <c r="F542" s="242"/>
      <c r="G542" s="208"/>
      <c r="H542" s="208"/>
      <c r="I542" s="208"/>
      <c r="J542" s="208"/>
      <c r="K542" s="208"/>
      <c r="L542" s="208"/>
      <c r="M542" s="208"/>
      <c r="N542" s="208"/>
      <c r="O542" s="208"/>
      <c r="P542" s="208"/>
      <c r="Q542" s="208"/>
      <c r="R542" s="208"/>
      <c r="S542" s="208"/>
      <c r="T542" s="208"/>
      <c r="U542" s="208"/>
      <c r="V542" s="208"/>
      <c r="W542" s="208"/>
      <c r="X542" s="208"/>
      <c r="Y542" s="208"/>
      <c r="Z542" s="208"/>
    </row>
    <row r="543" spans="1:26">
      <c r="A543" s="242"/>
      <c r="B543" s="242"/>
      <c r="C543" s="242"/>
      <c r="D543" s="242"/>
      <c r="E543" s="242"/>
      <c r="F543" s="242"/>
      <c r="G543" s="208"/>
      <c r="H543" s="208"/>
      <c r="I543" s="208"/>
      <c r="J543" s="208"/>
      <c r="K543" s="208"/>
      <c r="L543" s="208"/>
      <c r="M543" s="208"/>
      <c r="N543" s="208"/>
      <c r="O543" s="208"/>
      <c r="P543" s="208"/>
      <c r="Q543" s="208"/>
      <c r="R543" s="208"/>
      <c r="S543" s="208"/>
      <c r="T543" s="208"/>
      <c r="U543" s="208"/>
      <c r="V543" s="208"/>
      <c r="W543" s="208"/>
      <c r="X543" s="208"/>
      <c r="Y543" s="208"/>
      <c r="Z543" s="208"/>
    </row>
    <row r="544" spans="1:26">
      <c r="A544" s="242"/>
      <c r="B544" s="242"/>
      <c r="C544" s="242"/>
      <c r="D544" s="242"/>
      <c r="E544" s="242"/>
      <c r="F544" s="242"/>
      <c r="G544" s="208"/>
      <c r="H544" s="208"/>
      <c r="I544" s="208"/>
      <c r="J544" s="208"/>
      <c r="K544" s="208"/>
      <c r="L544" s="208"/>
      <c r="M544" s="208"/>
      <c r="N544" s="208"/>
      <c r="O544" s="208"/>
      <c r="P544" s="208"/>
      <c r="Q544" s="208"/>
      <c r="R544" s="208"/>
      <c r="S544" s="208"/>
      <c r="T544" s="208"/>
      <c r="U544" s="208"/>
      <c r="V544" s="208"/>
      <c r="W544" s="208"/>
      <c r="X544" s="208"/>
      <c r="Y544" s="208"/>
      <c r="Z544" s="208"/>
    </row>
    <row r="545" spans="1:26">
      <c r="A545" s="242"/>
      <c r="B545" s="242"/>
      <c r="C545" s="242"/>
      <c r="D545" s="242"/>
      <c r="E545" s="242"/>
      <c r="F545" s="242"/>
      <c r="G545" s="208"/>
      <c r="H545" s="208"/>
      <c r="I545" s="208"/>
      <c r="J545" s="208"/>
      <c r="K545" s="208"/>
      <c r="L545" s="208"/>
      <c r="M545" s="208"/>
      <c r="N545" s="208"/>
      <c r="O545" s="208"/>
      <c r="P545" s="208"/>
      <c r="Q545" s="208"/>
      <c r="R545" s="208"/>
      <c r="S545" s="208"/>
      <c r="T545" s="208"/>
      <c r="U545" s="208"/>
      <c r="V545" s="208"/>
      <c r="W545" s="208"/>
      <c r="X545" s="208"/>
      <c r="Y545" s="208"/>
      <c r="Z545" s="208"/>
    </row>
    <row r="546" spans="1:26">
      <c r="A546" s="242"/>
      <c r="B546" s="242"/>
      <c r="C546" s="242"/>
      <c r="D546" s="242"/>
      <c r="E546" s="242"/>
      <c r="F546" s="242"/>
      <c r="G546" s="208"/>
      <c r="H546" s="208"/>
      <c r="I546" s="208"/>
      <c r="J546" s="208"/>
      <c r="K546" s="208"/>
      <c r="L546" s="208"/>
      <c r="M546" s="208"/>
      <c r="N546" s="208"/>
      <c r="O546" s="208"/>
      <c r="P546" s="208"/>
      <c r="Q546" s="208"/>
      <c r="R546" s="208"/>
      <c r="S546" s="208"/>
      <c r="T546" s="208"/>
      <c r="U546" s="208"/>
      <c r="V546" s="208"/>
      <c r="W546" s="208"/>
      <c r="X546" s="208"/>
      <c r="Y546" s="208"/>
      <c r="Z546" s="208"/>
    </row>
    <row r="547" spans="1:26">
      <c r="A547" s="242"/>
      <c r="B547" s="242"/>
      <c r="C547" s="242"/>
      <c r="D547" s="242"/>
      <c r="E547" s="242"/>
      <c r="F547" s="242"/>
      <c r="G547" s="208"/>
      <c r="H547" s="208"/>
      <c r="I547" s="208"/>
      <c r="J547" s="208"/>
      <c r="K547" s="208"/>
      <c r="L547" s="208"/>
      <c r="M547" s="208"/>
      <c r="N547" s="208"/>
      <c r="O547" s="208"/>
      <c r="P547" s="208"/>
      <c r="Q547" s="208"/>
      <c r="R547" s="208"/>
      <c r="S547" s="208"/>
      <c r="T547" s="208"/>
      <c r="U547" s="208"/>
      <c r="V547" s="208"/>
      <c r="W547" s="208"/>
      <c r="X547" s="208"/>
      <c r="Y547" s="208"/>
      <c r="Z547" s="208"/>
    </row>
    <row r="548" spans="1:26">
      <c r="A548" s="242"/>
      <c r="B548" s="242"/>
      <c r="C548" s="242"/>
      <c r="D548" s="242"/>
      <c r="E548" s="242"/>
      <c r="F548" s="242"/>
      <c r="G548" s="208"/>
      <c r="H548" s="208"/>
      <c r="I548" s="208"/>
      <c r="J548" s="208"/>
      <c r="K548" s="208"/>
      <c r="L548" s="208"/>
      <c r="M548" s="208"/>
      <c r="N548" s="208"/>
      <c r="O548" s="208"/>
      <c r="P548" s="208"/>
      <c r="Q548" s="208"/>
      <c r="R548" s="208"/>
      <c r="S548" s="208"/>
      <c r="T548" s="208"/>
      <c r="U548" s="208"/>
      <c r="V548" s="208"/>
      <c r="W548" s="208"/>
      <c r="X548" s="208"/>
      <c r="Y548" s="208"/>
      <c r="Z548" s="208"/>
    </row>
    <row r="549" spans="1:26">
      <c r="A549" s="242"/>
      <c r="B549" s="242"/>
      <c r="C549" s="242"/>
      <c r="D549" s="242"/>
      <c r="E549" s="242"/>
      <c r="F549" s="242"/>
      <c r="G549" s="208"/>
      <c r="H549" s="208"/>
      <c r="I549" s="208"/>
      <c r="J549" s="208"/>
      <c r="K549" s="208"/>
      <c r="L549" s="208"/>
      <c r="M549" s="208"/>
      <c r="N549" s="208"/>
      <c r="O549" s="208"/>
      <c r="P549" s="208"/>
      <c r="Q549" s="208"/>
      <c r="R549" s="208"/>
      <c r="S549" s="208"/>
      <c r="T549" s="208"/>
      <c r="U549" s="208"/>
      <c r="V549" s="208"/>
      <c r="W549" s="208"/>
      <c r="X549" s="208"/>
      <c r="Y549" s="208"/>
      <c r="Z549" s="208"/>
    </row>
    <row r="550" spans="1:26">
      <c r="A550" s="242"/>
      <c r="B550" s="242"/>
      <c r="C550" s="242"/>
      <c r="D550" s="242"/>
      <c r="E550" s="242"/>
      <c r="F550" s="242"/>
      <c r="G550" s="208"/>
      <c r="H550" s="208"/>
      <c r="I550" s="208"/>
      <c r="J550" s="208"/>
      <c r="K550" s="208"/>
      <c r="L550" s="208"/>
      <c r="M550" s="208"/>
      <c r="N550" s="208"/>
      <c r="O550" s="208"/>
      <c r="P550" s="208"/>
      <c r="Q550" s="208"/>
      <c r="R550" s="208"/>
      <c r="S550" s="208"/>
      <c r="T550" s="208"/>
      <c r="U550" s="208"/>
      <c r="V550" s="208"/>
      <c r="W550" s="208"/>
      <c r="X550" s="208"/>
      <c r="Y550" s="208"/>
      <c r="Z550" s="208"/>
    </row>
    <row r="551" spans="1:26">
      <c r="A551" s="242"/>
      <c r="B551" s="242"/>
      <c r="C551" s="242"/>
      <c r="D551" s="242"/>
      <c r="E551" s="242"/>
      <c r="F551" s="242"/>
      <c r="G551" s="208"/>
      <c r="H551" s="208"/>
      <c r="I551" s="208"/>
      <c r="J551" s="208"/>
      <c r="K551" s="208"/>
      <c r="L551" s="208"/>
      <c r="M551" s="208"/>
      <c r="N551" s="208"/>
      <c r="O551" s="208"/>
      <c r="P551" s="208"/>
      <c r="Q551" s="208"/>
      <c r="R551" s="208"/>
      <c r="S551" s="208"/>
      <c r="T551" s="208"/>
      <c r="U551" s="208"/>
      <c r="V551" s="208"/>
      <c r="W551" s="208"/>
      <c r="X551" s="208"/>
      <c r="Y551" s="208"/>
      <c r="Z551" s="208"/>
    </row>
    <row r="552" spans="1:26">
      <c r="A552" s="242"/>
      <c r="B552" s="242"/>
      <c r="C552" s="242"/>
      <c r="D552" s="242"/>
      <c r="E552" s="242"/>
      <c r="F552" s="242"/>
      <c r="G552" s="208"/>
      <c r="H552" s="208"/>
      <c r="I552" s="208"/>
      <c r="J552" s="208"/>
      <c r="K552" s="208"/>
      <c r="L552" s="208"/>
      <c r="M552" s="208"/>
      <c r="N552" s="208"/>
      <c r="O552" s="208"/>
      <c r="P552" s="208"/>
      <c r="Q552" s="208"/>
      <c r="R552" s="208"/>
      <c r="S552" s="208"/>
      <c r="T552" s="208"/>
      <c r="U552" s="208"/>
      <c r="V552" s="208"/>
      <c r="W552" s="208"/>
      <c r="X552" s="208"/>
      <c r="Y552" s="208"/>
      <c r="Z552" s="208"/>
    </row>
    <row r="553" spans="1:26">
      <c r="A553" s="242"/>
      <c r="B553" s="242"/>
      <c r="C553" s="242"/>
      <c r="D553" s="242"/>
      <c r="E553" s="242"/>
      <c r="F553" s="242"/>
      <c r="G553" s="208"/>
      <c r="H553" s="208"/>
      <c r="I553" s="208"/>
      <c r="J553" s="208"/>
      <c r="K553" s="208"/>
      <c r="L553" s="208"/>
      <c r="M553" s="208"/>
      <c r="N553" s="208"/>
      <c r="O553" s="208"/>
      <c r="P553" s="208"/>
      <c r="Q553" s="208"/>
      <c r="R553" s="208"/>
      <c r="S553" s="208"/>
      <c r="T553" s="208"/>
      <c r="U553" s="208"/>
      <c r="V553" s="208"/>
      <c r="W553" s="208"/>
      <c r="X553" s="208"/>
      <c r="Y553" s="208"/>
      <c r="Z553" s="208"/>
    </row>
    <row r="554" spans="1:26">
      <c r="A554" s="242"/>
      <c r="B554" s="242"/>
      <c r="C554" s="242"/>
      <c r="D554" s="242"/>
      <c r="E554" s="242"/>
      <c r="F554" s="242"/>
      <c r="G554" s="208"/>
      <c r="H554" s="208"/>
      <c r="I554" s="208"/>
      <c r="J554" s="208"/>
      <c r="K554" s="208"/>
      <c r="L554" s="208"/>
      <c r="M554" s="208"/>
      <c r="N554" s="208"/>
      <c r="O554" s="208"/>
      <c r="P554" s="208"/>
      <c r="Q554" s="208"/>
      <c r="R554" s="208"/>
      <c r="S554" s="208"/>
      <c r="T554" s="208"/>
      <c r="U554" s="208"/>
      <c r="V554" s="208"/>
      <c r="W554" s="208"/>
      <c r="X554" s="208"/>
      <c r="Y554" s="208"/>
      <c r="Z554" s="208"/>
    </row>
    <row r="555" spans="1:26">
      <c r="A555" s="242"/>
      <c r="B555" s="242"/>
      <c r="C555" s="242"/>
      <c r="D555" s="242"/>
      <c r="E555" s="242"/>
      <c r="F555" s="242"/>
      <c r="G555" s="208"/>
      <c r="H555" s="208"/>
      <c r="I555" s="208"/>
      <c r="J555" s="208"/>
      <c r="K555" s="208"/>
      <c r="L555" s="208"/>
      <c r="M555" s="208"/>
      <c r="N555" s="208"/>
      <c r="O555" s="208"/>
      <c r="P555" s="208"/>
      <c r="Q555" s="208"/>
      <c r="R555" s="208"/>
      <c r="S555" s="208"/>
      <c r="T555" s="208"/>
      <c r="U555" s="208"/>
      <c r="V555" s="208"/>
      <c r="W555" s="208"/>
      <c r="X555" s="208"/>
      <c r="Y555" s="208"/>
      <c r="Z555" s="208"/>
    </row>
    <row r="556" spans="1:26">
      <c r="A556" s="242"/>
      <c r="B556" s="242"/>
      <c r="C556" s="242"/>
      <c r="D556" s="242"/>
      <c r="E556" s="242"/>
      <c r="F556" s="242"/>
      <c r="G556" s="208"/>
      <c r="H556" s="208"/>
      <c r="I556" s="208"/>
      <c r="J556" s="208"/>
      <c r="K556" s="208"/>
      <c r="L556" s="208"/>
      <c r="M556" s="208"/>
      <c r="N556" s="208"/>
      <c r="O556" s="208"/>
      <c r="P556" s="208"/>
      <c r="Q556" s="208"/>
      <c r="R556" s="208"/>
      <c r="S556" s="208"/>
      <c r="T556" s="208"/>
      <c r="U556" s="208"/>
      <c r="V556" s="208"/>
      <c r="W556" s="208"/>
      <c r="X556" s="208"/>
      <c r="Y556" s="208"/>
      <c r="Z556" s="208"/>
    </row>
    <row r="557" spans="1:26">
      <c r="A557" s="242"/>
      <c r="B557" s="242"/>
      <c r="C557" s="242"/>
      <c r="D557" s="242"/>
      <c r="E557" s="242"/>
      <c r="F557" s="242"/>
      <c r="G557" s="208"/>
      <c r="H557" s="208"/>
      <c r="I557" s="208"/>
      <c r="J557" s="208"/>
      <c r="K557" s="208"/>
      <c r="L557" s="208"/>
      <c r="M557" s="208"/>
      <c r="N557" s="208"/>
      <c r="O557" s="208"/>
      <c r="P557" s="208"/>
      <c r="Q557" s="208"/>
      <c r="R557" s="208"/>
      <c r="S557" s="208"/>
      <c r="T557" s="208"/>
      <c r="U557" s="208"/>
      <c r="V557" s="208"/>
      <c r="W557" s="208"/>
      <c r="X557" s="208"/>
      <c r="Y557" s="208"/>
      <c r="Z557" s="208"/>
    </row>
    <row r="558" spans="1:26">
      <c r="A558" s="242"/>
      <c r="B558" s="242"/>
      <c r="C558" s="242"/>
      <c r="D558" s="242"/>
      <c r="E558" s="242"/>
      <c r="F558" s="242"/>
      <c r="G558" s="208"/>
      <c r="H558" s="208"/>
      <c r="I558" s="208"/>
      <c r="J558" s="208"/>
      <c r="K558" s="208"/>
      <c r="L558" s="208"/>
      <c r="M558" s="208"/>
      <c r="N558" s="208"/>
      <c r="O558" s="208"/>
      <c r="P558" s="208"/>
      <c r="Q558" s="208"/>
      <c r="R558" s="208"/>
      <c r="S558" s="208"/>
      <c r="T558" s="208"/>
      <c r="U558" s="208"/>
      <c r="V558" s="208"/>
      <c r="W558" s="208"/>
      <c r="X558" s="208"/>
      <c r="Y558" s="208"/>
      <c r="Z558" s="208"/>
    </row>
    <row r="559" spans="1:26">
      <c r="A559" s="242"/>
      <c r="B559" s="242"/>
      <c r="C559" s="242"/>
      <c r="D559" s="242"/>
      <c r="E559" s="242"/>
      <c r="F559" s="242"/>
      <c r="G559" s="208"/>
      <c r="H559" s="208"/>
      <c r="I559" s="208"/>
      <c r="J559" s="208"/>
      <c r="K559" s="208"/>
      <c r="L559" s="208"/>
      <c r="M559" s="208"/>
      <c r="N559" s="208"/>
      <c r="O559" s="208"/>
      <c r="P559" s="208"/>
      <c r="Q559" s="208"/>
      <c r="R559" s="208"/>
      <c r="S559" s="208"/>
      <c r="T559" s="208"/>
      <c r="U559" s="208"/>
      <c r="V559" s="208"/>
      <c r="W559" s="208"/>
      <c r="X559" s="208"/>
      <c r="Y559" s="208"/>
      <c r="Z559" s="208"/>
    </row>
    <row r="560" spans="1:26">
      <c r="A560" s="242"/>
      <c r="B560" s="242"/>
      <c r="C560" s="242"/>
      <c r="D560" s="242"/>
      <c r="E560" s="242"/>
      <c r="F560" s="242"/>
      <c r="G560" s="208"/>
      <c r="H560" s="208"/>
      <c r="I560" s="208"/>
      <c r="J560" s="208"/>
      <c r="K560" s="208"/>
      <c r="L560" s="208"/>
      <c r="M560" s="208"/>
      <c r="N560" s="208"/>
      <c r="O560" s="208"/>
      <c r="P560" s="208"/>
      <c r="Q560" s="208"/>
      <c r="R560" s="208"/>
      <c r="S560" s="208"/>
      <c r="T560" s="208"/>
      <c r="U560" s="208"/>
      <c r="V560" s="208"/>
      <c r="W560" s="208"/>
      <c r="X560" s="208"/>
      <c r="Y560" s="208"/>
      <c r="Z560" s="208"/>
    </row>
    <row r="561" spans="1:26">
      <c r="A561" s="242"/>
      <c r="B561" s="242"/>
      <c r="C561" s="242"/>
      <c r="D561" s="242"/>
      <c r="E561" s="242"/>
      <c r="F561" s="242"/>
      <c r="G561" s="208"/>
      <c r="H561" s="208"/>
      <c r="I561" s="208"/>
      <c r="J561" s="208"/>
      <c r="K561" s="208"/>
      <c r="L561" s="208"/>
      <c r="M561" s="208"/>
      <c r="N561" s="208"/>
      <c r="O561" s="208"/>
      <c r="P561" s="208"/>
      <c r="Q561" s="208"/>
      <c r="R561" s="208"/>
      <c r="S561" s="208"/>
      <c r="T561" s="208"/>
      <c r="U561" s="208"/>
      <c r="V561" s="208"/>
      <c r="W561" s="208"/>
      <c r="X561" s="208"/>
      <c r="Y561" s="208"/>
      <c r="Z561" s="208"/>
    </row>
    <row r="562" spans="1:26">
      <c r="A562" s="242"/>
      <c r="B562" s="242"/>
      <c r="C562" s="242"/>
      <c r="D562" s="242"/>
      <c r="E562" s="242"/>
      <c r="F562" s="242"/>
      <c r="G562" s="208"/>
      <c r="H562" s="208"/>
      <c r="I562" s="208"/>
      <c r="J562" s="208"/>
      <c r="K562" s="208"/>
      <c r="L562" s="208"/>
      <c r="M562" s="208"/>
      <c r="N562" s="208"/>
      <c r="O562" s="208"/>
      <c r="P562" s="208"/>
      <c r="Q562" s="208"/>
      <c r="R562" s="208"/>
      <c r="S562" s="208"/>
      <c r="T562" s="208"/>
      <c r="U562" s="208"/>
      <c r="V562" s="208"/>
      <c r="W562" s="208"/>
      <c r="X562" s="208"/>
      <c r="Y562" s="208"/>
      <c r="Z562" s="208"/>
    </row>
    <row r="563" spans="1:26">
      <c r="A563" s="242"/>
      <c r="B563" s="242"/>
      <c r="C563" s="242"/>
      <c r="D563" s="242"/>
      <c r="E563" s="242"/>
      <c r="F563" s="242"/>
      <c r="G563" s="208"/>
      <c r="H563" s="208"/>
      <c r="I563" s="208"/>
      <c r="J563" s="208"/>
      <c r="K563" s="208"/>
      <c r="L563" s="208"/>
      <c r="M563" s="208"/>
      <c r="N563" s="208"/>
      <c r="O563" s="208"/>
      <c r="P563" s="208"/>
      <c r="Q563" s="208"/>
      <c r="R563" s="208"/>
      <c r="S563" s="208"/>
      <c r="T563" s="208"/>
      <c r="U563" s="208"/>
      <c r="V563" s="208"/>
      <c r="W563" s="208"/>
      <c r="X563" s="208"/>
      <c r="Y563" s="208"/>
      <c r="Z563" s="208"/>
    </row>
    <row r="564" spans="1:26">
      <c r="A564" s="242"/>
      <c r="B564" s="242"/>
      <c r="C564" s="242"/>
      <c r="D564" s="242"/>
      <c r="E564" s="242"/>
      <c r="F564" s="242"/>
      <c r="G564" s="208"/>
      <c r="H564" s="208"/>
      <c r="I564" s="208"/>
      <c r="J564" s="208"/>
      <c r="K564" s="208"/>
      <c r="L564" s="208"/>
      <c r="M564" s="208"/>
      <c r="N564" s="208"/>
      <c r="O564" s="208"/>
      <c r="P564" s="208"/>
      <c r="Q564" s="208"/>
      <c r="R564" s="208"/>
      <c r="S564" s="208"/>
      <c r="T564" s="208"/>
      <c r="U564" s="208"/>
      <c r="V564" s="208"/>
      <c r="W564" s="208"/>
      <c r="X564" s="208"/>
      <c r="Y564" s="208"/>
      <c r="Z564" s="208"/>
    </row>
    <row r="565" spans="1:26">
      <c r="A565" s="242"/>
      <c r="B565" s="242"/>
      <c r="C565" s="242"/>
      <c r="D565" s="242"/>
      <c r="E565" s="242"/>
      <c r="F565" s="242"/>
      <c r="G565" s="208"/>
      <c r="H565" s="208"/>
      <c r="I565" s="208"/>
      <c r="J565" s="208"/>
      <c r="K565" s="208"/>
      <c r="L565" s="208"/>
      <c r="M565" s="208"/>
      <c r="N565" s="208"/>
      <c r="O565" s="208"/>
      <c r="P565" s="208"/>
      <c r="Q565" s="208"/>
      <c r="R565" s="208"/>
      <c r="S565" s="208"/>
      <c r="T565" s="208"/>
      <c r="U565" s="208"/>
      <c r="V565" s="208"/>
      <c r="W565" s="208"/>
      <c r="X565" s="208"/>
      <c r="Y565" s="208"/>
      <c r="Z565" s="208"/>
    </row>
    <row r="566" spans="1:26">
      <c r="A566" s="242"/>
      <c r="B566" s="242"/>
      <c r="C566" s="242"/>
      <c r="D566" s="242"/>
      <c r="E566" s="242"/>
      <c r="F566" s="242"/>
      <c r="G566" s="208"/>
      <c r="H566" s="208"/>
      <c r="I566" s="208"/>
      <c r="J566" s="208"/>
      <c r="K566" s="208"/>
      <c r="L566" s="208"/>
      <c r="M566" s="208"/>
      <c r="N566" s="208"/>
      <c r="O566" s="208"/>
      <c r="P566" s="208"/>
      <c r="Q566" s="208"/>
      <c r="R566" s="208"/>
      <c r="S566" s="208"/>
      <c r="T566" s="208"/>
      <c r="U566" s="208"/>
      <c r="V566" s="208"/>
      <c r="W566" s="208"/>
      <c r="X566" s="208"/>
      <c r="Y566" s="208"/>
      <c r="Z566" s="208"/>
    </row>
    <row r="567" spans="1:26">
      <c r="A567" s="242"/>
      <c r="B567" s="242"/>
      <c r="C567" s="242"/>
      <c r="D567" s="242"/>
      <c r="E567" s="242"/>
      <c r="F567" s="242"/>
      <c r="G567" s="208"/>
      <c r="H567" s="208"/>
      <c r="I567" s="208"/>
      <c r="J567" s="208"/>
      <c r="K567" s="208"/>
      <c r="L567" s="208"/>
      <c r="M567" s="208"/>
      <c r="N567" s="208"/>
      <c r="O567" s="208"/>
      <c r="P567" s="208"/>
      <c r="Q567" s="208"/>
      <c r="R567" s="208"/>
      <c r="S567" s="208"/>
      <c r="T567" s="208"/>
      <c r="U567" s="208"/>
      <c r="V567" s="208"/>
      <c r="W567" s="208"/>
      <c r="X567" s="208"/>
      <c r="Y567" s="208"/>
      <c r="Z567" s="208"/>
    </row>
    <row r="568" spans="1:26">
      <c r="A568" s="242"/>
      <c r="B568" s="242"/>
      <c r="C568" s="242"/>
      <c r="D568" s="242"/>
      <c r="E568" s="242"/>
      <c r="F568" s="242"/>
      <c r="G568" s="208"/>
      <c r="H568" s="208"/>
      <c r="I568" s="208"/>
      <c r="J568" s="208"/>
      <c r="K568" s="208"/>
      <c r="L568" s="208"/>
      <c r="M568" s="208"/>
      <c r="N568" s="208"/>
      <c r="O568" s="208"/>
      <c r="P568" s="208"/>
      <c r="Q568" s="208"/>
      <c r="R568" s="208"/>
      <c r="S568" s="208"/>
      <c r="T568" s="208"/>
      <c r="U568" s="208"/>
      <c r="V568" s="208"/>
      <c r="W568" s="208"/>
      <c r="X568" s="208"/>
      <c r="Y568" s="208"/>
      <c r="Z568" s="208"/>
    </row>
    <row r="569" spans="1:26">
      <c r="A569" s="242"/>
      <c r="B569" s="242"/>
      <c r="C569" s="242"/>
      <c r="D569" s="242"/>
      <c r="E569" s="242"/>
      <c r="F569" s="242"/>
      <c r="G569" s="208"/>
      <c r="H569" s="208"/>
      <c r="I569" s="208"/>
      <c r="J569" s="208"/>
      <c r="K569" s="208"/>
      <c r="L569" s="208"/>
      <c r="M569" s="208"/>
      <c r="N569" s="208"/>
      <c r="O569" s="208"/>
      <c r="P569" s="208"/>
      <c r="Q569" s="208"/>
      <c r="R569" s="208"/>
      <c r="S569" s="208"/>
      <c r="T569" s="208"/>
      <c r="U569" s="208"/>
      <c r="V569" s="208"/>
      <c r="W569" s="208"/>
      <c r="X569" s="208"/>
      <c r="Y569" s="208"/>
      <c r="Z569" s="208"/>
    </row>
    <row r="570" spans="1:26">
      <c r="A570" s="242"/>
      <c r="B570" s="242"/>
      <c r="C570" s="242"/>
      <c r="D570" s="242"/>
      <c r="E570" s="242"/>
      <c r="F570" s="242"/>
      <c r="G570" s="208"/>
      <c r="H570" s="208"/>
      <c r="I570" s="208"/>
      <c r="J570" s="208"/>
      <c r="K570" s="208"/>
      <c r="L570" s="208"/>
      <c r="M570" s="208"/>
      <c r="N570" s="208"/>
      <c r="O570" s="208"/>
      <c r="P570" s="208"/>
      <c r="Q570" s="208"/>
      <c r="R570" s="208"/>
      <c r="S570" s="208"/>
      <c r="T570" s="208"/>
      <c r="U570" s="208"/>
      <c r="V570" s="208"/>
      <c r="W570" s="208"/>
      <c r="X570" s="208"/>
      <c r="Y570" s="208"/>
      <c r="Z570" s="208"/>
    </row>
    <row r="571" spans="1:26">
      <c r="A571" s="242"/>
      <c r="B571" s="242"/>
      <c r="C571" s="242"/>
      <c r="D571" s="242"/>
      <c r="E571" s="242"/>
      <c r="F571" s="242"/>
      <c r="G571" s="208"/>
      <c r="H571" s="208"/>
      <c r="I571" s="208"/>
      <c r="J571" s="208"/>
      <c r="K571" s="208"/>
      <c r="L571" s="208"/>
      <c r="M571" s="208"/>
      <c r="N571" s="208"/>
      <c r="O571" s="208"/>
      <c r="P571" s="208"/>
      <c r="Q571" s="208"/>
      <c r="R571" s="208"/>
      <c r="S571" s="208"/>
      <c r="T571" s="208"/>
      <c r="U571" s="208"/>
      <c r="V571" s="208"/>
      <c r="W571" s="208"/>
      <c r="X571" s="208"/>
      <c r="Y571" s="208"/>
      <c r="Z571" s="208"/>
    </row>
    <row r="572" spans="1:26">
      <c r="A572" s="242"/>
      <c r="B572" s="242"/>
      <c r="C572" s="242"/>
      <c r="D572" s="242"/>
      <c r="E572" s="242"/>
      <c r="F572" s="242"/>
      <c r="G572" s="208"/>
      <c r="H572" s="208"/>
      <c r="I572" s="208"/>
      <c r="J572" s="208"/>
      <c r="K572" s="208"/>
      <c r="L572" s="208"/>
      <c r="M572" s="208"/>
      <c r="N572" s="208"/>
      <c r="O572" s="208"/>
      <c r="P572" s="208"/>
      <c r="Q572" s="208"/>
      <c r="R572" s="208"/>
      <c r="S572" s="208"/>
      <c r="T572" s="208"/>
      <c r="U572" s="208"/>
      <c r="V572" s="208"/>
      <c r="W572" s="208"/>
      <c r="X572" s="208"/>
      <c r="Y572" s="208"/>
      <c r="Z572" s="208"/>
    </row>
    <row r="573" spans="1:26">
      <c r="A573" s="242"/>
      <c r="B573" s="242"/>
      <c r="C573" s="242"/>
      <c r="D573" s="242"/>
      <c r="E573" s="242"/>
      <c r="F573" s="242"/>
      <c r="G573" s="208"/>
      <c r="H573" s="208"/>
      <c r="I573" s="208"/>
      <c r="J573" s="208"/>
      <c r="K573" s="208"/>
      <c r="L573" s="208"/>
      <c r="M573" s="208"/>
      <c r="N573" s="208"/>
      <c r="O573" s="208"/>
      <c r="P573" s="208"/>
      <c r="Q573" s="208"/>
      <c r="R573" s="208"/>
      <c r="S573" s="208"/>
      <c r="T573" s="208"/>
      <c r="U573" s="208"/>
      <c r="V573" s="208"/>
      <c r="W573" s="208"/>
      <c r="X573" s="208"/>
      <c r="Y573" s="208"/>
      <c r="Z573" s="208"/>
    </row>
    <row r="574" spans="1:26">
      <c r="A574" s="242"/>
      <c r="B574" s="242"/>
      <c r="C574" s="242"/>
      <c r="D574" s="242"/>
      <c r="E574" s="242"/>
      <c r="F574" s="242"/>
      <c r="G574" s="208"/>
      <c r="H574" s="208"/>
      <c r="I574" s="208"/>
      <c r="J574" s="208"/>
      <c r="K574" s="208"/>
      <c r="L574" s="208"/>
      <c r="M574" s="208"/>
      <c r="N574" s="208"/>
      <c r="O574" s="208"/>
      <c r="P574" s="208"/>
      <c r="Q574" s="208"/>
      <c r="R574" s="208"/>
      <c r="S574" s="208"/>
      <c r="T574" s="208"/>
      <c r="U574" s="208"/>
      <c r="V574" s="208"/>
      <c r="W574" s="208"/>
      <c r="X574" s="208"/>
      <c r="Y574" s="208"/>
      <c r="Z574" s="208"/>
    </row>
    <row r="575" spans="1:26">
      <c r="A575" s="242"/>
      <c r="B575" s="242"/>
      <c r="C575" s="242"/>
      <c r="D575" s="242"/>
      <c r="E575" s="242"/>
      <c r="F575" s="242"/>
      <c r="G575" s="208"/>
      <c r="H575" s="208"/>
      <c r="I575" s="208"/>
      <c r="J575" s="208"/>
      <c r="K575" s="208"/>
      <c r="L575" s="208"/>
      <c r="M575" s="208"/>
      <c r="N575" s="208"/>
      <c r="O575" s="208"/>
      <c r="P575" s="208"/>
      <c r="Q575" s="208"/>
      <c r="R575" s="208"/>
      <c r="S575" s="208"/>
      <c r="T575" s="208"/>
      <c r="U575" s="208"/>
      <c r="V575" s="208"/>
      <c r="W575" s="208"/>
      <c r="X575" s="208"/>
      <c r="Y575" s="208"/>
      <c r="Z575" s="208"/>
    </row>
    <row r="576" spans="1:26">
      <c r="A576" s="242"/>
      <c r="B576" s="242"/>
      <c r="C576" s="242"/>
      <c r="D576" s="242"/>
      <c r="E576" s="242"/>
      <c r="F576" s="242"/>
      <c r="G576" s="208"/>
      <c r="H576" s="208"/>
      <c r="I576" s="208"/>
      <c r="J576" s="208"/>
      <c r="K576" s="208"/>
      <c r="L576" s="208"/>
      <c r="M576" s="208"/>
      <c r="N576" s="208"/>
      <c r="O576" s="208"/>
      <c r="P576" s="208"/>
      <c r="Q576" s="208"/>
      <c r="R576" s="208"/>
      <c r="S576" s="208"/>
      <c r="T576" s="208"/>
      <c r="U576" s="208"/>
      <c r="V576" s="208"/>
      <c r="W576" s="208"/>
      <c r="X576" s="208"/>
      <c r="Y576" s="208"/>
      <c r="Z576" s="208"/>
    </row>
    <row r="577" spans="1:26">
      <c r="A577" s="242"/>
      <c r="B577" s="242"/>
      <c r="C577" s="242"/>
      <c r="D577" s="242"/>
      <c r="E577" s="242"/>
      <c r="F577" s="242"/>
      <c r="G577" s="208"/>
      <c r="H577" s="208"/>
      <c r="I577" s="208"/>
      <c r="J577" s="208"/>
      <c r="K577" s="208"/>
      <c r="L577" s="208"/>
      <c r="M577" s="208"/>
      <c r="N577" s="208"/>
      <c r="O577" s="208"/>
      <c r="P577" s="208"/>
      <c r="Q577" s="208"/>
      <c r="R577" s="208"/>
      <c r="S577" s="208"/>
      <c r="T577" s="208"/>
      <c r="U577" s="208"/>
      <c r="V577" s="208"/>
      <c r="W577" s="208"/>
      <c r="X577" s="208"/>
      <c r="Y577" s="208"/>
      <c r="Z577" s="208"/>
    </row>
    <row r="578" spans="1:26">
      <c r="A578" s="242"/>
      <c r="B578" s="242"/>
      <c r="C578" s="242"/>
      <c r="D578" s="242"/>
      <c r="E578" s="242"/>
      <c r="F578" s="242"/>
      <c r="G578" s="208"/>
      <c r="H578" s="208"/>
      <c r="I578" s="208"/>
      <c r="J578" s="208"/>
      <c r="K578" s="208"/>
      <c r="L578" s="208"/>
      <c r="M578" s="208"/>
      <c r="N578" s="208"/>
      <c r="O578" s="208"/>
      <c r="P578" s="208"/>
      <c r="Q578" s="208"/>
      <c r="R578" s="208"/>
      <c r="S578" s="208"/>
      <c r="T578" s="208"/>
      <c r="U578" s="208"/>
      <c r="V578" s="208"/>
      <c r="W578" s="208"/>
      <c r="X578" s="208"/>
      <c r="Y578" s="208"/>
      <c r="Z578" s="208"/>
    </row>
    <row r="579" spans="1:26">
      <c r="A579" s="242"/>
      <c r="B579" s="242"/>
      <c r="C579" s="242"/>
      <c r="D579" s="242"/>
      <c r="E579" s="242"/>
      <c r="F579" s="242"/>
      <c r="G579" s="208"/>
      <c r="H579" s="208"/>
      <c r="I579" s="208"/>
      <c r="J579" s="208"/>
      <c r="K579" s="208"/>
      <c r="L579" s="208"/>
      <c r="M579" s="208"/>
      <c r="N579" s="208"/>
      <c r="O579" s="208"/>
      <c r="P579" s="208"/>
      <c r="Q579" s="208"/>
      <c r="R579" s="208"/>
      <c r="S579" s="208"/>
      <c r="T579" s="208"/>
      <c r="U579" s="208"/>
      <c r="V579" s="208"/>
      <c r="W579" s="208"/>
      <c r="X579" s="208"/>
      <c r="Y579" s="208"/>
      <c r="Z579" s="208"/>
    </row>
    <row r="580" spans="1:26">
      <c r="A580" s="242"/>
      <c r="B580" s="242"/>
      <c r="C580" s="242"/>
      <c r="D580" s="242"/>
      <c r="E580" s="242"/>
      <c r="F580" s="242"/>
      <c r="G580" s="208"/>
      <c r="H580" s="208"/>
      <c r="I580" s="208"/>
      <c r="J580" s="208"/>
      <c r="K580" s="208"/>
      <c r="L580" s="208"/>
      <c r="M580" s="208"/>
      <c r="N580" s="208"/>
      <c r="O580" s="208"/>
      <c r="P580" s="208"/>
      <c r="Q580" s="208"/>
      <c r="R580" s="208"/>
      <c r="S580" s="208"/>
      <c r="T580" s="208"/>
      <c r="U580" s="208"/>
      <c r="V580" s="208"/>
      <c r="W580" s="208"/>
      <c r="X580" s="208"/>
      <c r="Y580" s="208"/>
      <c r="Z580" s="208"/>
    </row>
    <row r="581" spans="1:26">
      <c r="A581" s="242"/>
      <c r="B581" s="242"/>
      <c r="C581" s="242"/>
      <c r="D581" s="242"/>
      <c r="E581" s="242"/>
      <c r="F581" s="242"/>
      <c r="G581" s="208"/>
      <c r="H581" s="208"/>
      <c r="I581" s="208"/>
      <c r="J581" s="208"/>
      <c r="K581" s="208"/>
      <c r="L581" s="208"/>
      <c r="M581" s="208"/>
      <c r="N581" s="208"/>
      <c r="O581" s="208"/>
      <c r="P581" s="208"/>
      <c r="Q581" s="208"/>
      <c r="R581" s="208"/>
      <c r="S581" s="208"/>
      <c r="T581" s="208"/>
      <c r="U581" s="208"/>
      <c r="V581" s="208"/>
      <c r="W581" s="208"/>
      <c r="X581" s="208"/>
      <c r="Y581" s="208"/>
      <c r="Z581" s="208"/>
    </row>
    <row r="582" spans="1:26">
      <c r="A582" s="242"/>
      <c r="B582" s="242"/>
      <c r="C582" s="242"/>
      <c r="D582" s="242"/>
      <c r="E582" s="242"/>
      <c r="F582" s="242"/>
      <c r="G582" s="208"/>
      <c r="H582" s="208"/>
      <c r="I582" s="208"/>
      <c r="J582" s="208"/>
      <c r="K582" s="208"/>
      <c r="L582" s="208"/>
      <c r="M582" s="208"/>
      <c r="N582" s="208"/>
      <c r="O582" s="208"/>
      <c r="P582" s="208"/>
      <c r="Q582" s="208"/>
      <c r="R582" s="208"/>
      <c r="S582" s="208"/>
      <c r="T582" s="208"/>
      <c r="U582" s="208"/>
      <c r="V582" s="208"/>
      <c r="W582" s="208"/>
      <c r="X582" s="208"/>
      <c r="Y582" s="208"/>
      <c r="Z582" s="208"/>
    </row>
    <row r="583" spans="1:26">
      <c r="A583" s="242"/>
      <c r="B583" s="242"/>
      <c r="C583" s="242"/>
      <c r="D583" s="242"/>
      <c r="E583" s="242"/>
      <c r="F583" s="242"/>
      <c r="G583" s="208"/>
      <c r="H583" s="208"/>
      <c r="I583" s="208"/>
      <c r="J583" s="208"/>
      <c r="K583" s="208"/>
      <c r="L583" s="208"/>
      <c r="M583" s="208"/>
      <c r="N583" s="208"/>
      <c r="O583" s="208"/>
      <c r="P583" s="208"/>
      <c r="Q583" s="208"/>
      <c r="R583" s="208"/>
      <c r="S583" s="208"/>
      <c r="T583" s="208"/>
      <c r="U583" s="208"/>
      <c r="V583" s="208"/>
      <c r="W583" s="208"/>
      <c r="X583" s="208"/>
      <c r="Y583" s="208"/>
      <c r="Z583" s="208"/>
    </row>
    <row r="584" spans="1:26">
      <c r="A584" s="242"/>
      <c r="B584" s="242"/>
      <c r="C584" s="242"/>
      <c r="D584" s="242"/>
      <c r="E584" s="242"/>
      <c r="F584" s="242"/>
      <c r="G584" s="208"/>
      <c r="H584" s="208"/>
      <c r="I584" s="208"/>
      <c r="J584" s="208"/>
      <c r="K584" s="208"/>
      <c r="L584" s="208"/>
      <c r="M584" s="208"/>
      <c r="N584" s="208"/>
      <c r="O584" s="208"/>
      <c r="P584" s="208"/>
      <c r="Q584" s="208"/>
      <c r="R584" s="208"/>
      <c r="S584" s="208"/>
      <c r="T584" s="208"/>
      <c r="U584" s="208"/>
      <c r="V584" s="208"/>
      <c r="W584" s="208"/>
      <c r="X584" s="208"/>
      <c r="Y584" s="208"/>
      <c r="Z584" s="208"/>
    </row>
    <row r="585" spans="1:26">
      <c r="A585" s="242"/>
      <c r="B585" s="242"/>
      <c r="C585" s="242"/>
      <c r="D585" s="242"/>
      <c r="E585" s="242"/>
      <c r="F585" s="242"/>
      <c r="G585" s="208"/>
      <c r="H585" s="208"/>
      <c r="I585" s="208"/>
      <c r="J585" s="208"/>
      <c r="K585" s="208"/>
      <c r="L585" s="208"/>
      <c r="M585" s="208"/>
      <c r="N585" s="208"/>
      <c r="O585" s="208"/>
      <c r="P585" s="208"/>
      <c r="Q585" s="208"/>
      <c r="R585" s="208"/>
      <c r="S585" s="208"/>
      <c r="T585" s="208"/>
      <c r="U585" s="208"/>
      <c r="V585" s="208"/>
      <c r="W585" s="208"/>
      <c r="X585" s="208"/>
      <c r="Y585" s="208"/>
      <c r="Z585" s="208"/>
    </row>
    <row r="586" spans="1:26">
      <c r="A586" s="242"/>
      <c r="B586" s="242"/>
      <c r="C586" s="242"/>
      <c r="D586" s="242"/>
      <c r="E586" s="242"/>
      <c r="F586" s="242"/>
      <c r="G586" s="208"/>
      <c r="H586" s="208"/>
      <c r="I586" s="208"/>
      <c r="J586" s="208"/>
      <c r="K586" s="208"/>
      <c r="L586" s="208"/>
      <c r="M586" s="208"/>
      <c r="N586" s="208"/>
      <c r="O586" s="208"/>
      <c r="P586" s="208"/>
      <c r="Q586" s="208"/>
      <c r="R586" s="208"/>
      <c r="S586" s="208"/>
      <c r="T586" s="208"/>
      <c r="U586" s="208"/>
      <c r="V586" s="208"/>
      <c r="W586" s="208"/>
      <c r="X586" s="208"/>
      <c r="Y586" s="208"/>
      <c r="Z586" s="208"/>
    </row>
    <row r="587" spans="1:26">
      <c r="A587" s="242"/>
      <c r="B587" s="242"/>
      <c r="C587" s="242"/>
      <c r="D587" s="242"/>
      <c r="E587" s="242"/>
      <c r="F587" s="242"/>
      <c r="G587" s="208"/>
      <c r="H587" s="208"/>
      <c r="I587" s="208"/>
      <c r="J587" s="208"/>
      <c r="K587" s="208"/>
      <c r="L587" s="208"/>
      <c r="M587" s="208"/>
      <c r="N587" s="208"/>
      <c r="O587" s="208"/>
      <c r="P587" s="208"/>
      <c r="Q587" s="208"/>
      <c r="R587" s="208"/>
      <c r="S587" s="208"/>
      <c r="T587" s="208"/>
      <c r="U587" s="208"/>
      <c r="V587" s="208"/>
      <c r="W587" s="208"/>
      <c r="X587" s="208"/>
      <c r="Y587" s="208"/>
      <c r="Z587" s="208"/>
    </row>
    <row r="588" spans="1:26">
      <c r="A588" s="242"/>
      <c r="B588" s="242"/>
      <c r="C588" s="242"/>
      <c r="D588" s="242"/>
      <c r="E588" s="242"/>
      <c r="F588" s="242"/>
      <c r="G588" s="208"/>
      <c r="H588" s="208"/>
      <c r="I588" s="208"/>
      <c r="J588" s="208"/>
      <c r="K588" s="208"/>
      <c r="L588" s="208"/>
      <c r="M588" s="208"/>
      <c r="N588" s="208"/>
      <c r="O588" s="208"/>
      <c r="P588" s="208"/>
      <c r="Q588" s="208"/>
      <c r="R588" s="208"/>
      <c r="S588" s="208"/>
      <c r="T588" s="208"/>
      <c r="U588" s="208"/>
      <c r="V588" s="208"/>
      <c r="W588" s="208"/>
      <c r="X588" s="208"/>
      <c r="Y588" s="208"/>
      <c r="Z588" s="208"/>
    </row>
    <row r="589" spans="1:26">
      <c r="A589" s="242"/>
      <c r="B589" s="242"/>
      <c r="C589" s="242"/>
      <c r="D589" s="242"/>
      <c r="E589" s="242"/>
      <c r="F589" s="242"/>
      <c r="G589" s="208"/>
      <c r="H589" s="208"/>
      <c r="I589" s="208"/>
      <c r="J589" s="208"/>
      <c r="K589" s="208"/>
      <c r="L589" s="208"/>
      <c r="M589" s="208"/>
      <c r="N589" s="208"/>
      <c r="O589" s="208"/>
      <c r="P589" s="208"/>
      <c r="Q589" s="208"/>
      <c r="R589" s="208"/>
      <c r="S589" s="208"/>
      <c r="T589" s="208"/>
      <c r="U589" s="208"/>
      <c r="V589" s="208"/>
      <c r="W589" s="208"/>
      <c r="X589" s="208"/>
      <c r="Y589" s="208"/>
      <c r="Z589" s="208"/>
    </row>
    <row r="590" spans="1:26">
      <c r="A590" s="242"/>
      <c r="B590" s="242"/>
      <c r="C590" s="242"/>
      <c r="D590" s="242"/>
      <c r="E590" s="242"/>
      <c r="F590" s="242"/>
      <c r="G590" s="208"/>
      <c r="H590" s="208"/>
      <c r="I590" s="208"/>
      <c r="J590" s="208"/>
      <c r="K590" s="208"/>
      <c r="L590" s="208"/>
      <c r="M590" s="208"/>
      <c r="N590" s="208"/>
      <c r="O590" s="208"/>
      <c r="P590" s="208"/>
      <c r="Q590" s="208"/>
      <c r="R590" s="208"/>
      <c r="S590" s="208"/>
      <c r="T590" s="208"/>
      <c r="U590" s="208"/>
      <c r="V590" s="208"/>
      <c r="W590" s="208"/>
      <c r="X590" s="208"/>
      <c r="Y590" s="208"/>
      <c r="Z590" s="208"/>
    </row>
    <row r="591" spans="1:26">
      <c r="A591" s="242"/>
      <c r="B591" s="242"/>
      <c r="C591" s="242"/>
      <c r="D591" s="242"/>
      <c r="E591" s="242"/>
      <c r="F591" s="242"/>
      <c r="G591" s="208"/>
      <c r="H591" s="208"/>
      <c r="I591" s="208"/>
      <c r="J591" s="208"/>
      <c r="K591" s="208"/>
      <c r="L591" s="208"/>
      <c r="M591" s="208"/>
      <c r="N591" s="208"/>
      <c r="O591" s="208"/>
      <c r="P591" s="208"/>
      <c r="Q591" s="208"/>
      <c r="R591" s="208"/>
      <c r="S591" s="208"/>
      <c r="T591" s="208"/>
      <c r="U591" s="208"/>
      <c r="V591" s="208"/>
      <c r="W591" s="208"/>
      <c r="X591" s="208"/>
      <c r="Y591" s="208"/>
      <c r="Z591" s="208"/>
    </row>
    <row r="592" spans="1:26">
      <c r="A592" s="242"/>
      <c r="B592" s="242"/>
      <c r="C592" s="242"/>
      <c r="D592" s="242"/>
      <c r="E592" s="242"/>
      <c r="F592" s="242"/>
      <c r="G592" s="208"/>
      <c r="H592" s="208"/>
      <c r="I592" s="208"/>
      <c r="J592" s="208"/>
      <c r="K592" s="208"/>
      <c r="L592" s="208"/>
      <c r="M592" s="208"/>
      <c r="N592" s="208"/>
      <c r="O592" s="208"/>
      <c r="P592" s="208"/>
      <c r="Q592" s="208"/>
      <c r="R592" s="208"/>
      <c r="S592" s="208"/>
      <c r="T592" s="208"/>
      <c r="U592" s="208"/>
      <c r="V592" s="208"/>
      <c r="W592" s="208"/>
      <c r="X592" s="208"/>
      <c r="Y592" s="208"/>
      <c r="Z592" s="208"/>
    </row>
    <row r="593" spans="1:26">
      <c r="A593" s="242"/>
      <c r="B593" s="242"/>
      <c r="C593" s="242"/>
      <c r="D593" s="242"/>
      <c r="E593" s="242"/>
      <c r="F593" s="242"/>
      <c r="G593" s="208"/>
      <c r="H593" s="208"/>
      <c r="I593" s="208"/>
      <c r="J593" s="208"/>
      <c r="K593" s="208"/>
      <c r="L593" s="208"/>
      <c r="M593" s="208"/>
      <c r="N593" s="208"/>
      <c r="O593" s="208"/>
      <c r="P593" s="208"/>
      <c r="Q593" s="208"/>
      <c r="R593" s="208"/>
      <c r="S593" s="208"/>
      <c r="T593" s="208"/>
      <c r="U593" s="208"/>
      <c r="V593" s="208"/>
      <c r="W593" s="208"/>
      <c r="X593" s="208"/>
      <c r="Y593" s="208"/>
      <c r="Z593" s="208"/>
    </row>
    <row r="594" spans="1:26">
      <c r="A594" s="242"/>
      <c r="B594" s="242"/>
      <c r="C594" s="242"/>
      <c r="D594" s="242"/>
      <c r="E594" s="242"/>
      <c r="F594" s="242"/>
      <c r="G594" s="208"/>
      <c r="H594" s="208"/>
      <c r="I594" s="208"/>
      <c r="J594" s="208"/>
      <c r="K594" s="208"/>
      <c r="L594" s="208"/>
      <c r="M594" s="208"/>
      <c r="N594" s="208"/>
      <c r="O594" s="208"/>
      <c r="P594" s="208"/>
      <c r="Q594" s="208"/>
      <c r="R594" s="208"/>
      <c r="S594" s="208"/>
      <c r="T594" s="208"/>
      <c r="U594" s="208"/>
      <c r="V594" s="208"/>
      <c r="W594" s="208"/>
      <c r="X594" s="208"/>
      <c r="Y594" s="208"/>
      <c r="Z594" s="208"/>
    </row>
    <row r="595" spans="1:26">
      <c r="A595" s="242"/>
      <c r="B595" s="242"/>
      <c r="C595" s="242"/>
      <c r="D595" s="242"/>
      <c r="E595" s="242"/>
      <c r="F595" s="242"/>
      <c r="G595" s="208"/>
      <c r="H595" s="208"/>
      <c r="I595" s="208"/>
      <c r="J595" s="208"/>
      <c r="K595" s="208"/>
      <c r="L595" s="208"/>
      <c r="M595" s="208"/>
      <c r="N595" s="208"/>
      <c r="O595" s="208"/>
      <c r="P595" s="208"/>
      <c r="Q595" s="208"/>
      <c r="R595" s="208"/>
      <c r="S595" s="208"/>
      <c r="T595" s="208"/>
      <c r="U595" s="208"/>
      <c r="V595" s="208"/>
      <c r="W595" s="208"/>
      <c r="X595" s="208"/>
      <c r="Y595" s="208"/>
      <c r="Z595" s="208"/>
    </row>
    <row r="596" spans="1:26">
      <c r="A596" s="242"/>
      <c r="B596" s="242"/>
      <c r="C596" s="242"/>
      <c r="D596" s="242"/>
      <c r="E596" s="242"/>
      <c r="F596" s="242"/>
      <c r="G596" s="208"/>
      <c r="H596" s="208"/>
      <c r="I596" s="208"/>
      <c r="J596" s="208"/>
      <c r="K596" s="208"/>
      <c r="L596" s="208"/>
      <c r="M596" s="208"/>
      <c r="N596" s="208"/>
      <c r="O596" s="208"/>
      <c r="P596" s="208"/>
      <c r="Q596" s="208"/>
      <c r="R596" s="208"/>
      <c r="S596" s="208"/>
      <c r="T596" s="208"/>
      <c r="U596" s="208"/>
      <c r="V596" s="208"/>
      <c r="W596" s="208"/>
      <c r="X596" s="208"/>
      <c r="Y596" s="208"/>
      <c r="Z596" s="208"/>
    </row>
    <row r="597" spans="1:26">
      <c r="A597" s="242"/>
      <c r="B597" s="242"/>
      <c r="C597" s="242"/>
      <c r="D597" s="242"/>
      <c r="E597" s="242"/>
      <c r="F597" s="242"/>
      <c r="G597" s="208"/>
      <c r="H597" s="208"/>
      <c r="I597" s="208"/>
      <c r="J597" s="208"/>
      <c r="K597" s="208"/>
      <c r="L597" s="208"/>
      <c r="M597" s="208"/>
      <c r="N597" s="208"/>
      <c r="O597" s="208"/>
      <c r="P597" s="208"/>
      <c r="Q597" s="208"/>
      <c r="R597" s="208"/>
      <c r="S597" s="208"/>
      <c r="T597" s="208"/>
      <c r="U597" s="208"/>
      <c r="V597" s="208"/>
      <c r="W597" s="208"/>
      <c r="X597" s="208"/>
      <c r="Y597" s="208"/>
      <c r="Z597" s="208"/>
    </row>
    <row r="598" spans="1:26">
      <c r="A598" s="242"/>
      <c r="B598" s="242"/>
      <c r="C598" s="242"/>
      <c r="D598" s="242"/>
      <c r="E598" s="242"/>
      <c r="F598" s="242"/>
      <c r="G598" s="208"/>
      <c r="H598" s="208"/>
      <c r="I598" s="208"/>
      <c r="J598" s="208"/>
      <c r="K598" s="208"/>
      <c r="L598" s="208"/>
      <c r="M598" s="208"/>
      <c r="N598" s="208"/>
      <c r="O598" s="208"/>
      <c r="P598" s="208"/>
      <c r="Q598" s="208"/>
      <c r="R598" s="208"/>
      <c r="S598" s="208"/>
      <c r="T598" s="208"/>
      <c r="U598" s="208"/>
      <c r="V598" s="208"/>
      <c r="W598" s="208"/>
      <c r="X598" s="208"/>
      <c r="Y598" s="208"/>
      <c r="Z598" s="208"/>
    </row>
    <row r="599" spans="1:26">
      <c r="A599" s="242"/>
      <c r="B599" s="242"/>
      <c r="C599" s="242"/>
      <c r="D599" s="242"/>
      <c r="E599" s="242"/>
      <c r="F599" s="242"/>
      <c r="G599" s="208"/>
      <c r="H599" s="208"/>
      <c r="I599" s="208"/>
      <c r="J599" s="208"/>
      <c r="K599" s="208"/>
      <c r="L599" s="208"/>
      <c r="M599" s="208"/>
      <c r="N599" s="208"/>
      <c r="O599" s="208"/>
      <c r="P599" s="208"/>
      <c r="Q599" s="208"/>
      <c r="R599" s="208"/>
      <c r="S599" s="208"/>
      <c r="T599" s="208"/>
      <c r="U599" s="208"/>
      <c r="V599" s="208"/>
      <c r="W599" s="208"/>
      <c r="X599" s="208"/>
      <c r="Y599" s="208"/>
      <c r="Z599" s="208"/>
    </row>
    <row r="600" spans="1:26">
      <c r="A600" s="242"/>
      <c r="B600" s="242"/>
      <c r="C600" s="242"/>
      <c r="D600" s="242"/>
      <c r="E600" s="242"/>
      <c r="F600" s="242"/>
      <c r="G600" s="208"/>
      <c r="H600" s="208"/>
      <c r="I600" s="208"/>
      <c r="J600" s="208"/>
      <c r="K600" s="208"/>
      <c r="L600" s="208"/>
      <c r="M600" s="208"/>
      <c r="N600" s="208"/>
      <c r="O600" s="208"/>
      <c r="P600" s="208"/>
      <c r="Q600" s="208"/>
      <c r="R600" s="208"/>
      <c r="S600" s="208"/>
      <c r="T600" s="208"/>
      <c r="U600" s="208"/>
      <c r="V600" s="208"/>
      <c r="W600" s="208"/>
      <c r="X600" s="208"/>
      <c r="Y600" s="208"/>
      <c r="Z600" s="208"/>
    </row>
    <row r="601" spans="1:26">
      <c r="A601" s="242"/>
      <c r="B601" s="242"/>
      <c r="C601" s="242"/>
      <c r="D601" s="242"/>
      <c r="E601" s="242"/>
      <c r="F601" s="242"/>
      <c r="G601" s="208"/>
      <c r="H601" s="208"/>
      <c r="I601" s="208"/>
      <c r="J601" s="208"/>
      <c r="K601" s="208"/>
      <c r="L601" s="208"/>
      <c r="M601" s="208"/>
      <c r="N601" s="208"/>
      <c r="O601" s="208"/>
      <c r="P601" s="208"/>
      <c r="Q601" s="208"/>
      <c r="R601" s="208"/>
      <c r="S601" s="208"/>
      <c r="T601" s="208"/>
      <c r="U601" s="208"/>
      <c r="V601" s="208"/>
      <c r="W601" s="208"/>
      <c r="X601" s="208"/>
      <c r="Y601" s="208"/>
      <c r="Z601" s="208"/>
    </row>
    <row r="602" spans="1:26">
      <c r="A602" s="242"/>
      <c r="B602" s="242"/>
      <c r="C602" s="242"/>
      <c r="D602" s="242"/>
      <c r="E602" s="242"/>
      <c r="F602" s="242"/>
      <c r="G602" s="208"/>
      <c r="H602" s="208"/>
      <c r="I602" s="208"/>
      <c r="J602" s="208"/>
      <c r="K602" s="208"/>
      <c r="L602" s="208"/>
      <c r="M602" s="208"/>
      <c r="N602" s="208"/>
      <c r="O602" s="208"/>
      <c r="P602" s="208"/>
      <c r="Q602" s="208"/>
      <c r="R602" s="208"/>
      <c r="S602" s="208"/>
      <c r="T602" s="208"/>
      <c r="U602" s="208"/>
      <c r="V602" s="208"/>
      <c r="W602" s="208"/>
      <c r="X602" s="208"/>
      <c r="Y602" s="208"/>
      <c r="Z602" s="208"/>
    </row>
    <row r="603" spans="1:26">
      <c r="A603" s="242"/>
      <c r="B603" s="242"/>
      <c r="C603" s="242"/>
      <c r="D603" s="242"/>
      <c r="E603" s="242"/>
      <c r="F603" s="242"/>
      <c r="G603" s="208"/>
      <c r="H603" s="208"/>
      <c r="I603" s="208"/>
      <c r="J603" s="208"/>
      <c r="K603" s="208"/>
      <c r="L603" s="208"/>
      <c r="M603" s="208"/>
      <c r="N603" s="208"/>
      <c r="O603" s="208"/>
      <c r="P603" s="208"/>
      <c r="Q603" s="208"/>
      <c r="R603" s="208"/>
      <c r="S603" s="208"/>
      <c r="T603" s="208"/>
      <c r="U603" s="208"/>
      <c r="V603" s="208"/>
      <c r="W603" s="208"/>
      <c r="X603" s="208"/>
      <c r="Y603" s="208"/>
      <c r="Z603" s="208"/>
    </row>
    <row r="604" spans="1:26">
      <c r="A604" s="242"/>
      <c r="B604" s="242"/>
      <c r="C604" s="242"/>
      <c r="D604" s="242"/>
      <c r="E604" s="242"/>
      <c r="F604" s="242"/>
      <c r="G604" s="208"/>
      <c r="H604" s="208"/>
      <c r="I604" s="208"/>
      <c r="J604" s="208"/>
      <c r="K604" s="208"/>
      <c r="L604" s="208"/>
      <c r="M604" s="208"/>
      <c r="N604" s="208"/>
      <c r="O604" s="208"/>
      <c r="P604" s="208"/>
      <c r="Q604" s="208"/>
      <c r="R604" s="208"/>
      <c r="S604" s="208"/>
      <c r="T604" s="208"/>
      <c r="U604" s="208"/>
      <c r="V604" s="208"/>
      <c r="W604" s="208"/>
      <c r="X604" s="208"/>
      <c r="Y604" s="208"/>
      <c r="Z604" s="208"/>
    </row>
    <row r="605" spans="1:26">
      <c r="A605" s="242"/>
      <c r="B605" s="242"/>
      <c r="C605" s="242"/>
      <c r="D605" s="242"/>
      <c r="E605" s="242"/>
      <c r="F605" s="242"/>
      <c r="G605" s="208"/>
      <c r="H605" s="208"/>
      <c r="I605" s="208"/>
      <c r="J605" s="208"/>
      <c r="K605" s="208"/>
      <c r="L605" s="208"/>
      <c r="M605" s="208"/>
      <c r="N605" s="208"/>
      <c r="O605" s="208"/>
      <c r="P605" s="208"/>
      <c r="Q605" s="208"/>
      <c r="R605" s="208"/>
      <c r="S605" s="208"/>
      <c r="T605" s="208"/>
      <c r="U605" s="208"/>
      <c r="V605" s="208"/>
      <c r="W605" s="208"/>
      <c r="X605" s="208"/>
      <c r="Y605" s="208"/>
      <c r="Z605" s="208"/>
    </row>
    <row r="606" spans="1:26">
      <c r="A606" s="242"/>
      <c r="B606" s="242"/>
      <c r="C606" s="242"/>
      <c r="D606" s="242"/>
      <c r="E606" s="242"/>
      <c r="F606" s="242"/>
      <c r="G606" s="208"/>
      <c r="H606" s="208"/>
      <c r="I606" s="208"/>
      <c r="J606" s="208"/>
      <c r="K606" s="208"/>
      <c r="L606" s="208"/>
      <c r="M606" s="208"/>
      <c r="N606" s="208"/>
      <c r="O606" s="208"/>
      <c r="P606" s="208"/>
      <c r="Q606" s="208"/>
      <c r="R606" s="208"/>
      <c r="S606" s="208"/>
      <c r="T606" s="208"/>
      <c r="U606" s="208"/>
      <c r="V606" s="208"/>
      <c r="W606" s="208"/>
      <c r="X606" s="208"/>
      <c r="Y606" s="208"/>
      <c r="Z606" s="208"/>
    </row>
    <row r="607" spans="1:26">
      <c r="A607" s="242"/>
      <c r="B607" s="242"/>
      <c r="C607" s="242"/>
      <c r="D607" s="242"/>
      <c r="E607" s="242"/>
      <c r="F607" s="242"/>
      <c r="G607" s="208"/>
      <c r="H607" s="208"/>
      <c r="I607" s="208"/>
      <c r="J607" s="208"/>
      <c r="K607" s="208"/>
      <c r="L607" s="208"/>
      <c r="M607" s="208"/>
      <c r="N607" s="208"/>
      <c r="O607" s="208"/>
      <c r="P607" s="208"/>
      <c r="Q607" s="208"/>
      <c r="R607" s="208"/>
      <c r="S607" s="208"/>
      <c r="T607" s="208"/>
      <c r="U607" s="208"/>
      <c r="V607" s="208"/>
      <c r="W607" s="208"/>
      <c r="X607" s="208"/>
      <c r="Y607" s="208"/>
      <c r="Z607" s="208"/>
    </row>
    <row r="608" spans="1:26">
      <c r="A608" s="242"/>
      <c r="B608" s="242"/>
      <c r="C608" s="242"/>
      <c r="D608" s="242"/>
      <c r="E608" s="242"/>
      <c r="F608" s="242"/>
      <c r="G608" s="208"/>
      <c r="H608" s="208"/>
      <c r="I608" s="208"/>
      <c r="J608" s="208"/>
      <c r="K608" s="208"/>
      <c r="L608" s="208"/>
      <c r="M608" s="208"/>
      <c r="N608" s="208"/>
      <c r="O608" s="208"/>
      <c r="P608" s="208"/>
      <c r="Q608" s="208"/>
      <c r="R608" s="208"/>
      <c r="S608" s="208"/>
      <c r="T608" s="208"/>
      <c r="U608" s="208"/>
      <c r="V608" s="208"/>
      <c r="W608" s="208"/>
      <c r="X608" s="208"/>
      <c r="Y608" s="208"/>
      <c r="Z608" s="208"/>
    </row>
    <row r="609" spans="1:26">
      <c r="A609" s="242"/>
      <c r="B609" s="242"/>
      <c r="C609" s="242"/>
      <c r="D609" s="242"/>
      <c r="E609" s="242"/>
      <c r="F609" s="242"/>
      <c r="G609" s="208"/>
      <c r="H609" s="208"/>
      <c r="I609" s="208"/>
      <c r="J609" s="208"/>
      <c r="K609" s="208"/>
      <c r="L609" s="208"/>
      <c r="M609" s="208"/>
      <c r="N609" s="208"/>
      <c r="O609" s="208"/>
      <c r="P609" s="208"/>
      <c r="Q609" s="208"/>
      <c r="R609" s="208"/>
      <c r="S609" s="208"/>
      <c r="T609" s="208"/>
      <c r="U609" s="208"/>
      <c r="V609" s="208"/>
      <c r="W609" s="208"/>
      <c r="X609" s="208"/>
      <c r="Y609" s="208"/>
      <c r="Z609" s="208"/>
    </row>
  </sheetData>
  <conditionalFormatting sqref="G38:G158">
    <cfRule type="containsText" dxfId="140" priority="3" operator="containsText" text="TOP">
      <formula>NOT(ISERROR(SEARCH("TOP",G38)))</formula>
    </cfRule>
    <cfRule type="containsText" dxfId="139" priority="4" operator="containsText" text="Medium">
      <formula>NOT(ISERROR(SEARCH("Medium",G38)))</formula>
    </cfRule>
    <cfRule type="containsText" dxfId="138" priority="5" operator="containsText" text="High">
      <formula>NOT(ISERROR(SEARCH("High",G38)))</formula>
    </cfRule>
    <cfRule type="containsText" dxfId="137" priority="6" operator="containsText" text="Low">
      <formula>NOT(ISERROR(SEARCH("Low",G38)))</formula>
    </cfRule>
  </conditionalFormatting>
  <dataValidations count="11">
    <dataValidation type="list" allowBlank="1" showInputMessage="1" showErrorMessage="1" sqref="F36:H36 D159" xr:uid="{9E649EEE-5E5D-44E9-BD5B-F2AF377F0348}">
      <formula1>#REF!</formula1>
    </dataValidation>
    <dataValidation type="list" allowBlank="1" showInputMessage="1" showErrorMessage="1" sqref="P37" xr:uid="{BE8C1AEE-285C-4B4B-92E8-7B906BBE1143}">
      <formula1>"PM"</formula1>
    </dataValidation>
    <dataValidation type="list" allowBlank="1" showInputMessage="1" showErrorMessage="1" sqref="C126:C127 C39 C148:C151 C42:C121 C153:C158 C131:C145" xr:uid="{C8651C3E-09E3-4B8B-A167-FA4DF19FEE95}">
      <formula1>"ACTION, INFO, ACTION (New), INFO (New)"</formula1>
    </dataValidation>
    <dataValidation type="list" allowBlank="1" showInputMessage="1" showErrorMessage="1" sqref="D39 D153:D158 D147:D151 D42:D121 D126:D144" xr:uid="{2DCB3B26-7097-468D-8DF3-C78F554CC698}">
      <formula1>"OPEN, CLOSED"</formula1>
    </dataValidation>
    <dataValidation type="list" allowBlank="1" showInputMessage="1" showErrorMessage="1" sqref="E36" xr:uid="{2602A1C7-6AEE-4233-B6BA-8F63C3138324}">
      <formula1>INDIRECT("Owner_List[Owner Name]")</formula1>
    </dataValidation>
    <dataValidation type="list" allowBlank="1" showInputMessage="1" showErrorMessage="1" sqref="H145" xr:uid="{CC3BC618-A3E6-479F-8ACF-82525CEF4576}">
      <formula1>"Green, Yellow, Red"</formula1>
    </dataValidation>
    <dataValidation type="date" operator="greaterThan" allowBlank="1" showInputMessage="1" showErrorMessage="1" sqref="M37:N117 M121:N158" xr:uid="{5E76443A-3484-45FB-8E90-43C0B2CE1237}">
      <formula1>45292</formula1>
    </dataValidation>
    <dataValidation type="custom" allowBlank="1" showInputMessage="1" showErrorMessage="1" errorTitle="MAX LENGHT 250" promptTitle="MAX LENGHT 250" sqref="B37" xr:uid="{64AD1F07-4675-419B-B726-3AB37BE09208}">
      <formula1>LEN(A1)&lt;=250</formula1>
    </dataValidation>
    <dataValidation type="list" allowBlank="1" showInputMessage="1" showErrorMessage="1" sqref="D13:D35" xr:uid="{DFAF0A64-E7AE-4490-AB8B-FBDED6D6369D}">
      <formula1>"Yes, No"</formula1>
    </dataValidation>
    <dataValidation allowBlank="1" showInputMessage="1" showErrorMessage="1" sqref="E98:E99 E69:E70 E81:E82 E72:E76" xr:uid="{731136D1-BB7F-4B77-9C7D-CC3F7551EF78}"/>
    <dataValidation type="list" allowBlank="1" showInputMessage="1" showErrorMessage="1" sqref="G37:G158" xr:uid="{7E52E674-C4A0-498F-9935-817186AD2ABD}">
      <formula1>"Low, Medium, High, TOP"</formula1>
    </dataValidation>
  </dataValidations>
  <pageMargins left="0.25" right="0.25" top="0.75" bottom="0.75" header="0.3" footer="0.3"/>
  <pageSetup paperSize="9" scale="52" fitToHeight="0" orientation="landscape" r:id="rId1"/>
  <legacyDrawing r:id="rId2"/>
  <tableParts count="2">
    <tablePart r:id="rId3"/>
    <tablePart r:id="rId4"/>
  </tableParts>
  <extLst>
    <ext xmlns:x14="http://schemas.microsoft.com/office/spreadsheetml/2009/9/main" uri="{CCE6A557-97BC-4b89-ADB6-D9C93CAAB3DF}">
      <x14:dataValidations xmlns:xm="http://schemas.microsoft.com/office/excel/2006/main" count="3">
        <x14:dataValidation type="list" allowBlank="1" showInputMessage="1" showErrorMessage="1" xr:uid="{97A8D626-6D9F-4F1E-87DC-C659F11112B0}">
          <x14:formula1>
            <xm:f>DELEGATE!$A$2:$A$8</xm:f>
          </x14:formula1>
          <xm:sqref>O37:O117 O121:O158</xm:sqref>
        </x14:dataValidation>
        <x14:dataValidation type="list" allowBlank="1" showInputMessage="1" showErrorMessage="1" xr:uid="{5FE302A8-9EFE-4188-86DD-F444649672D4}">
          <x14:formula1>
            <xm:f>DISCIPLINE!$A$2:$A$46</xm:f>
          </x14:formula1>
          <xm:sqref>L37:L117 L121:L158</xm:sqref>
        </x14:dataValidation>
        <x14:dataValidation type="list" allowBlank="1" showInputMessage="1" showErrorMessage="1" xr:uid="{0074B3B5-E921-49CD-8AA5-6B0328C54BDD}">
          <x14:formula1>
            <xm:f>'OWNER LIST'!$A$2:$A$220</xm:f>
          </x14:formula1>
          <xm:sqref>E12:E35 J37:K117 J118:J120 J121:K158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0217D-B351-4248-A3ED-AF576BA76ABF}">
  <dimension ref="A1:E109"/>
  <sheetViews>
    <sheetView topLeftCell="A55" workbookViewId="0">
      <selection activeCell="B75" sqref="B75"/>
    </sheetView>
  </sheetViews>
  <sheetFormatPr defaultRowHeight="14.45"/>
  <cols>
    <col min="1" max="1" width="21.28515625" customWidth="1"/>
    <col min="2" max="2" width="71.28515625" bestFit="1" customWidth="1"/>
    <col min="3" max="3" width="18.85546875" bestFit="1" customWidth="1"/>
    <col min="4" max="4" width="30.140625" customWidth="1"/>
  </cols>
  <sheetData>
    <row r="1" spans="1:5" s="186" customFormat="1" ht="31.15" thickBot="1">
      <c r="A1" s="184" t="s">
        <v>423</v>
      </c>
      <c r="B1" s="185" t="s">
        <v>424</v>
      </c>
      <c r="C1" s="185" t="s">
        <v>425</v>
      </c>
      <c r="D1" s="185" t="s">
        <v>426</v>
      </c>
      <c r="E1" s="186" t="s">
        <v>427</v>
      </c>
    </row>
    <row r="2" spans="1:5" ht="15" thickBot="1">
      <c r="A2" s="177" t="s">
        <v>428</v>
      </c>
      <c r="B2" s="178" t="s">
        <v>429</v>
      </c>
      <c r="C2" s="179" t="s">
        <v>430</v>
      </c>
      <c r="D2" s="180" t="s">
        <v>431</v>
      </c>
    </row>
    <row r="3" spans="1:5" ht="15" thickBot="1">
      <c r="A3" s="177" t="s">
        <v>432</v>
      </c>
      <c r="B3" s="178" t="s">
        <v>433</v>
      </c>
      <c r="C3" s="179" t="s">
        <v>434</v>
      </c>
      <c r="D3" s="180" t="s">
        <v>431</v>
      </c>
    </row>
    <row r="4" spans="1:5" ht="15" thickBot="1">
      <c r="A4" s="177" t="s">
        <v>435</v>
      </c>
      <c r="B4" s="178" t="s">
        <v>436</v>
      </c>
      <c r="C4" s="179" t="s">
        <v>430</v>
      </c>
      <c r="D4" s="180" t="s">
        <v>431</v>
      </c>
    </row>
    <row r="5" spans="1:5" ht="15" thickBot="1">
      <c r="A5" s="177" t="s">
        <v>437</v>
      </c>
      <c r="B5" s="178" t="s">
        <v>438</v>
      </c>
      <c r="C5" s="179" t="s">
        <v>430</v>
      </c>
      <c r="D5" s="180" t="s">
        <v>431</v>
      </c>
    </row>
    <row r="6" spans="1:5" ht="15" thickBot="1">
      <c r="A6" s="177" t="s">
        <v>439</v>
      </c>
      <c r="B6" s="178" t="s">
        <v>440</v>
      </c>
      <c r="C6" s="179" t="s">
        <v>430</v>
      </c>
      <c r="D6" s="180" t="s">
        <v>431</v>
      </c>
    </row>
    <row r="7" spans="1:5" ht="15" thickBot="1">
      <c r="A7" s="177" t="s">
        <v>441</v>
      </c>
      <c r="B7" s="178" t="s">
        <v>442</v>
      </c>
      <c r="C7" s="179" t="s">
        <v>430</v>
      </c>
      <c r="D7" s="180" t="s">
        <v>431</v>
      </c>
    </row>
    <row r="8" spans="1:5" ht="15" thickBot="1">
      <c r="A8" s="177" t="s">
        <v>443</v>
      </c>
      <c r="B8" s="178" t="s">
        <v>444</v>
      </c>
      <c r="C8" s="179" t="s">
        <v>430</v>
      </c>
      <c r="D8" s="180" t="s">
        <v>431</v>
      </c>
    </row>
    <row r="9" spans="1:5" ht="15" thickBot="1">
      <c r="A9" s="177" t="s">
        <v>445</v>
      </c>
      <c r="B9" s="178" t="s">
        <v>446</v>
      </c>
      <c r="C9" s="179" t="s">
        <v>430</v>
      </c>
      <c r="D9" s="180" t="s">
        <v>431</v>
      </c>
    </row>
    <row r="10" spans="1:5" ht="15" thickBot="1">
      <c r="A10" s="177" t="s">
        <v>447</v>
      </c>
      <c r="B10" s="178" t="s">
        <v>448</v>
      </c>
      <c r="C10" s="179" t="s">
        <v>430</v>
      </c>
      <c r="D10" s="180" t="s">
        <v>431</v>
      </c>
    </row>
    <row r="11" spans="1:5" ht="15" thickBot="1">
      <c r="A11" s="177" t="s">
        <v>449</v>
      </c>
      <c r="B11" s="178" t="s">
        <v>450</v>
      </c>
      <c r="C11" s="179" t="s">
        <v>9</v>
      </c>
      <c r="D11" s="180" t="s">
        <v>431</v>
      </c>
    </row>
    <row r="12" spans="1:5" ht="15" thickBot="1">
      <c r="A12" s="177" t="s">
        <v>451</v>
      </c>
      <c r="B12" s="178" t="s">
        <v>452</v>
      </c>
      <c r="C12" s="179" t="s">
        <v>430</v>
      </c>
      <c r="D12" s="180" t="s">
        <v>431</v>
      </c>
    </row>
    <row r="13" spans="1:5" ht="15" thickBot="1">
      <c r="A13" s="177" t="s">
        <v>453</v>
      </c>
      <c r="B13" s="178" t="s">
        <v>454</v>
      </c>
      <c r="C13" s="179" t="s">
        <v>9</v>
      </c>
      <c r="D13" s="180" t="s">
        <v>431</v>
      </c>
    </row>
    <row r="14" spans="1:5" ht="15" thickBot="1">
      <c r="A14" s="177" t="s">
        <v>455</v>
      </c>
      <c r="B14" s="178" t="s">
        <v>456</v>
      </c>
      <c r="C14" s="179" t="s">
        <v>430</v>
      </c>
      <c r="D14" s="180" t="s">
        <v>431</v>
      </c>
    </row>
    <row r="15" spans="1:5" ht="15" thickBot="1">
      <c r="A15" s="177" t="s">
        <v>457</v>
      </c>
      <c r="B15" s="178" t="s">
        <v>458</v>
      </c>
      <c r="C15" s="179" t="s">
        <v>430</v>
      </c>
      <c r="D15" s="180" t="s">
        <v>431</v>
      </c>
    </row>
    <row r="16" spans="1:5" ht="15" thickBot="1">
      <c r="A16" s="177" t="s">
        <v>459</v>
      </c>
      <c r="B16" s="178" t="s">
        <v>460</v>
      </c>
      <c r="C16" s="179" t="s">
        <v>461</v>
      </c>
      <c r="D16" s="180" t="s">
        <v>431</v>
      </c>
    </row>
    <row r="17" spans="1:4" ht="15" thickBot="1">
      <c r="A17" s="177" t="s">
        <v>462</v>
      </c>
      <c r="B17" s="178" t="s">
        <v>463</v>
      </c>
      <c r="C17" s="179" t="s">
        <v>9</v>
      </c>
      <c r="D17" s="180" t="s">
        <v>431</v>
      </c>
    </row>
    <row r="18" spans="1:4" ht="15" thickBot="1">
      <c r="A18" s="177" t="s">
        <v>464</v>
      </c>
      <c r="B18" s="178" t="s">
        <v>465</v>
      </c>
      <c r="C18" s="179" t="s">
        <v>466</v>
      </c>
      <c r="D18" s="180" t="s">
        <v>431</v>
      </c>
    </row>
    <row r="19" spans="1:4" ht="15" thickBot="1">
      <c r="A19" s="177" t="s">
        <v>467</v>
      </c>
      <c r="B19" s="178" t="s">
        <v>468</v>
      </c>
      <c r="C19" s="179" t="s">
        <v>430</v>
      </c>
      <c r="D19" s="180" t="s">
        <v>431</v>
      </c>
    </row>
    <row r="20" spans="1:4" ht="15" thickBot="1">
      <c r="A20" s="177" t="s">
        <v>469</v>
      </c>
      <c r="B20" s="178" t="s">
        <v>470</v>
      </c>
      <c r="C20" s="179" t="s">
        <v>430</v>
      </c>
      <c r="D20" s="180" t="s">
        <v>431</v>
      </c>
    </row>
    <row r="21" spans="1:4" ht="15" thickBot="1">
      <c r="A21" s="177" t="s">
        <v>471</v>
      </c>
      <c r="B21" s="178" t="s">
        <v>472</v>
      </c>
      <c r="C21" s="179" t="s">
        <v>430</v>
      </c>
      <c r="D21" s="180" t="s">
        <v>431</v>
      </c>
    </row>
    <row r="22" spans="1:4" ht="15" thickBot="1">
      <c r="A22" s="177" t="s">
        <v>473</v>
      </c>
      <c r="B22" s="178" t="s">
        <v>474</v>
      </c>
      <c r="C22" s="179" t="s">
        <v>9</v>
      </c>
      <c r="D22" s="180" t="s">
        <v>431</v>
      </c>
    </row>
    <row r="23" spans="1:4" ht="15" thickBot="1">
      <c r="A23" s="177" t="s">
        <v>475</v>
      </c>
      <c r="B23" s="178" t="s">
        <v>476</v>
      </c>
      <c r="C23" s="179" t="s">
        <v>9</v>
      </c>
      <c r="D23" s="180" t="s">
        <v>431</v>
      </c>
    </row>
    <row r="24" spans="1:4" ht="15" thickBot="1">
      <c r="A24" s="177" t="s">
        <v>477</v>
      </c>
      <c r="B24" s="178" t="s">
        <v>478</v>
      </c>
      <c r="C24" s="179" t="s">
        <v>9</v>
      </c>
      <c r="D24" s="180" t="s">
        <v>431</v>
      </c>
    </row>
    <row r="25" spans="1:4" ht="15" thickBot="1">
      <c r="A25" s="177" t="s">
        <v>479</v>
      </c>
      <c r="B25" s="178" t="s">
        <v>480</v>
      </c>
      <c r="C25" s="179" t="s">
        <v>9</v>
      </c>
      <c r="D25" s="180" t="s">
        <v>431</v>
      </c>
    </row>
    <row r="26" spans="1:4" ht="15" thickBot="1">
      <c r="A26" s="177" t="s">
        <v>481</v>
      </c>
      <c r="B26" s="178" t="s">
        <v>482</v>
      </c>
      <c r="C26" s="179" t="s">
        <v>483</v>
      </c>
      <c r="D26" s="180" t="s">
        <v>431</v>
      </c>
    </row>
    <row r="27" spans="1:4" ht="15" thickBot="1">
      <c r="A27" s="177" t="s">
        <v>484</v>
      </c>
      <c r="B27" s="178" t="s">
        <v>485</v>
      </c>
      <c r="C27" s="179" t="s">
        <v>430</v>
      </c>
      <c r="D27" s="180" t="s">
        <v>431</v>
      </c>
    </row>
    <row r="28" spans="1:4" ht="15" thickBot="1">
      <c r="A28" s="177" t="s">
        <v>486</v>
      </c>
      <c r="B28" s="178" t="s">
        <v>487</v>
      </c>
      <c r="C28" s="179" t="s">
        <v>430</v>
      </c>
      <c r="D28" s="180" t="s">
        <v>431</v>
      </c>
    </row>
    <row r="29" spans="1:4" ht="15" thickBot="1">
      <c r="A29" s="177" t="s">
        <v>488</v>
      </c>
      <c r="B29" s="178" t="s">
        <v>489</v>
      </c>
      <c r="C29" s="179" t="s">
        <v>9</v>
      </c>
      <c r="D29" s="180" t="s">
        <v>431</v>
      </c>
    </row>
    <row r="30" spans="1:4" ht="15" thickBot="1">
      <c r="A30" s="177" t="s">
        <v>490</v>
      </c>
      <c r="B30" s="178" t="s">
        <v>491</v>
      </c>
      <c r="C30" s="179" t="s">
        <v>430</v>
      </c>
      <c r="D30" s="180" t="s">
        <v>431</v>
      </c>
    </row>
    <row r="31" spans="1:4" ht="15" thickBot="1">
      <c r="A31" s="177" t="s">
        <v>492</v>
      </c>
      <c r="B31" s="178" t="s">
        <v>493</v>
      </c>
      <c r="C31" s="179" t="s">
        <v>9</v>
      </c>
      <c r="D31" s="180" t="s">
        <v>431</v>
      </c>
    </row>
    <row r="32" spans="1:4" ht="15" thickBot="1">
      <c r="A32" s="177" t="s">
        <v>494</v>
      </c>
      <c r="B32" s="178" t="s">
        <v>495</v>
      </c>
      <c r="C32" s="179" t="s">
        <v>430</v>
      </c>
      <c r="D32" s="180" t="s">
        <v>431</v>
      </c>
    </row>
    <row r="33" spans="1:4" ht="15" thickBot="1">
      <c r="A33" s="177" t="s">
        <v>496</v>
      </c>
      <c r="B33" s="178" t="s">
        <v>497</v>
      </c>
      <c r="C33" s="179" t="s">
        <v>9</v>
      </c>
      <c r="D33" s="180" t="s">
        <v>431</v>
      </c>
    </row>
    <row r="34" spans="1:4" ht="15" thickBot="1">
      <c r="A34" s="177" t="s">
        <v>498</v>
      </c>
      <c r="B34" s="178" t="s">
        <v>499</v>
      </c>
      <c r="C34" s="179" t="s">
        <v>430</v>
      </c>
      <c r="D34" s="180" t="s">
        <v>431</v>
      </c>
    </row>
    <row r="35" spans="1:4" ht="15" thickBot="1">
      <c r="A35" s="177" t="s">
        <v>500</v>
      </c>
      <c r="B35" s="178" t="s">
        <v>501</v>
      </c>
      <c r="C35" s="179" t="s">
        <v>502</v>
      </c>
      <c r="D35" s="180" t="s">
        <v>431</v>
      </c>
    </row>
    <row r="36" spans="1:4" ht="15" thickBot="1">
      <c r="A36" s="177" t="s">
        <v>503</v>
      </c>
      <c r="B36" s="178" t="s">
        <v>504</v>
      </c>
      <c r="C36" s="179" t="s">
        <v>505</v>
      </c>
      <c r="D36" s="180" t="s">
        <v>431</v>
      </c>
    </row>
    <row r="37" spans="1:4" ht="15" thickBot="1">
      <c r="A37" s="177" t="s">
        <v>506</v>
      </c>
      <c r="B37" s="178" t="s">
        <v>507</v>
      </c>
      <c r="C37" s="179" t="s">
        <v>461</v>
      </c>
      <c r="D37" s="180" t="s">
        <v>431</v>
      </c>
    </row>
    <row r="38" spans="1:4" ht="15" thickBot="1">
      <c r="A38" s="177" t="s">
        <v>508</v>
      </c>
      <c r="B38" s="178" t="s">
        <v>509</v>
      </c>
      <c r="C38" s="179" t="s">
        <v>461</v>
      </c>
      <c r="D38" s="180" t="s">
        <v>431</v>
      </c>
    </row>
    <row r="39" spans="1:4" ht="15" thickBot="1">
      <c r="A39" s="177" t="s">
        <v>510</v>
      </c>
      <c r="B39" s="178" t="s">
        <v>511</v>
      </c>
      <c r="C39" s="179" t="s">
        <v>9</v>
      </c>
      <c r="D39" s="180" t="s">
        <v>431</v>
      </c>
    </row>
    <row r="40" spans="1:4" ht="15" thickBot="1">
      <c r="A40" s="177" t="s">
        <v>512</v>
      </c>
      <c r="B40" s="178" t="s">
        <v>513</v>
      </c>
      <c r="C40" s="179" t="s">
        <v>430</v>
      </c>
      <c r="D40" s="181" t="s">
        <v>514</v>
      </c>
    </row>
    <row r="41" spans="1:4" ht="15" thickBot="1">
      <c r="A41" s="177" t="s">
        <v>515</v>
      </c>
      <c r="B41" s="178" t="s">
        <v>516</v>
      </c>
      <c r="C41" s="179" t="s">
        <v>430</v>
      </c>
      <c r="D41" s="180" t="s">
        <v>431</v>
      </c>
    </row>
    <row r="42" spans="1:4" ht="15" thickBot="1">
      <c r="A42" s="177" t="s">
        <v>517</v>
      </c>
      <c r="B42" s="178" t="s">
        <v>518</v>
      </c>
      <c r="C42" s="179" t="s">
        <v>430</v>
      </c>
      <c r="D42" s="182" t="s">
        <v>519</v>
      </c>
    </row>
    <row r="43" spans="1:4" ht="15" thickBot="1">
      <c r="A43" s="177" t="s">
        <v>520</v>
      </c>
      <c r="B43" s="178" t="s">
        <v>521</v>
      </c>
      <c r="C43" s="179" t="s">
        <v>430</v>
      </c>
      <c r="D43" s="180" t="s">
        <v>431</v>
      </c>
    </row>
    <row r="44" spans="1:4" ht="15" thickBot="1">
      <c r="A44" s="177" t="s">
        <v>522</v>
      </c>
      <c r="B44" s="178" t="s">
        <v>523</v>
      </c>
      <c r="C44" s="179" t="s">
        <v>524</v>
      </c>
      <c r="D44" s="181" t="s">
        <v>525</v>
      </c>
    </row>
    <row r="45" spans="1:4" ht="15" thickBot="1">
      <c r="A45" s="177" t="s">
        <v>526</v>
      </c>
      <c r="B45" s="178" t="s">
        <v>527</v>
      </c>
      <c r="C45" s="179" t="s">
        <v>430</v>
      </c>
      <c r="D45" s="180" t="s">
        <v>431</v>
      </c>
    </row>
    <row r="46" spans="1:4" ht="15" thickBot="1">
      <c r="A46" s="177" t="s">
        <v>528</v>
      </c>
      <c r="B46" s="178" t="s">
        <v>529</v>
      </c>
      <c r="C46" s="179" t="s">
        <v>430</v>
      </c>
      <c r="D46" s="180" t="s">
        <v>431</v>
      </c>
    </row>
    <row r="47" spans="1:4" ht="15" thickBot="1">
      <c r="A47" s="177" t="s">
        <v>530</v>
      </c>
      <c r="B47" s="178" t="s">
        <v>531</v>
      </c>
      <c r="C47" s="179" t="s">
        <v>9</v>
      </c>
      <c r="D47" s="180" t="s">
        <v>431</v>
      </c>
    </row>
    <row r="48" spans="1:4" ht="15" thickBot="1">
      <c r="A48" s="177" t="s">
        <v>532</v>
      </c>
      <c r="B48" s="178" t="s">
        <v>533</v>
      </c>
      <c r="C48" s="179" t="s">
        <v>430</v>
      </c>
      <c r="D48" s="180" t="s">
        <v>431</v>
      </c>
    </row>
    <row r="49" spans="1:4" ht="15" thickBot="1">
      <c r="A49" s="177" t="s">
        <v>534</v>
      </c>
      <c r="B49" s="178" t="s">
        <v>535</v>
      </c>
      <c r="C49" s="179" t="s">
        <v>430</v>
      </c>
      <c r="D49" s="180" t="s">
        <v>431</v>
      </c>
    </row>
    <row r="50" spans="1:4" ht="15" thickBot="1">
      <c r="A50" s="177" t="s">
        <v>536</v>
      </c>
      <c r="B50" s="178" t="s">
        <v>537</v>
      </c>
      <c r="C50" s="179" t="s">
        <v>430</v>
      </c>
      <c r="D50" s="180" t="s">
        <v>431</v>
      </c>
    </row>
    <row r="51" spans="1:4" ht="15" thickBot="1">
      <c r="A51" s="177" t="s">
        <v>538</v>
      </c>
      <c r="B51" s="178" t="s">
        <v>539</v>
      </c>
      <c r="C51" s="179" t="s">
        <v>430</v>
      </c>
      <c r="D51" s="180" t="s">
        <v>431</v>
      </c>
    </row>
    <row r="52" spans="1:4" ht="15" thickBot="1">
      <c r="A52" s="177" t="s">
        <v>540</v>
      </c>
      <c r="B52" s="178" t="s">
        <v>541</v>
      </c>
      <c r="C52" s="179" t="s">
        <v>9</v>
      </c>
      <c r="D52" s="180" t="s">
        <v>431</v>
      </c>
    </row>
    <row r="53" spans="1:4" ht="15" thickBot="1">
      <c r="A53" s="177" t="s">
        <v>542</v>
      </c>
      <c r="B53" s="178" t="s">
        <v>543</v>
      </c>
      <c r="C53" s="179" t="s">
        <v>9</v>
      </c>
      <c r="D53" s="180" t="s">
        <v>431</v>
      </c>
    </row>
    <row r="54" spans="1:4" ht="15" thickBot="1">
      <c r="A54" s="177" t="s">
        <v>544</v>
      </c>
      <c r="B54" s="178" t="s">
        <v>545</v>
      </c>
      <c r="C54" s="179" t="s">
        <v>9</v>
      </c>
      <c r="D54" s="180" t="s">
        <v>431</v>
      </c>
    </row>
    <row r="55" spans="1:4" ht="15" thickBot="1">
      <c r="A55" s="177" t="s">
        <v>546</v>
      </c>
      <c r="B55" s="178" t="s">
        <v>547</v>
      </c>
      <c r="C55" s="179" t="s">
        <v>9</v>
      </c>
      <c r="D55" s="180" t="s">
        <v>431</v>
      </c>
    </row>
    <row r="56" spans="1:4" ht="15" thickBot="1">
      <c r="A56" s="177" t="s">
        <v>548</v>
      </c>
      <c r="B56" s="178" t="s">
        <v>549</v>
      </c>
      <c r="C56" s="179" t="s">
        <v>9</v>
      </c>
      <c r="D56" s="180" t="s">
        <v>431</v>
      </c>
    </row>
    <row r="57" spans="1:4" ht="15" thickBot="1">
      <c r="A57" s="177" t="s">
        <v>550</v>
      </c>
      <c r="B57" s="178" t="s">
        <v>551</v>
      </c>
      <c r="C57" s="179" t="s">
        <v>9</v>
      </c>
      <c r="D57" s="180" t="s">
        <v>431</v>
      </c>
    </row>
    <row r="58" spans="1:4" ht="15" thickBot="1">
      <c r="A58" s="177" t="s">
        <v>552</v>
      </c>
      <c r="B58" s="178" t="s">
        <v>553</v>
      </c>
      <c r="C58" s="179" t="s">
        <v>554</v>
      </c>
      <c r="D58" s="180" t="s">
        <v>431</v>
      </c>
    </row>
    <row r="59" spans="1:4" ht="15" thickBot="1">
      <c r="A59" s="177" t="s">
        <v>555</v>
      </c>
      <c r="B59" s="178" t="s">
        <v>556</v>
      </c>
      <c r="C59" s="179" t="s">
        <v>557</v>
      </c>
      <c r="D59" s="180" t="s">
        <v>431</v>
      </c>
    </row>
    <row r="60" spans="1:4" ht="15" thickBot="1">
      <c r="A60" s="177" t="s">
        <v>558</v>
      </c>
      <c r="B60" s="178" t="s">
        <v>559</v>
      </c>
      <c r="C60" s="179" t="s">
        <v>9</v>
      </c>
      <c r="D60" s="180" t="s">
        <v>431</v>
      </c>
    </row>
    <row r="61" spans="1:4" ht="15" thickBot="1">
      <c r="A61" s="177" t="s">
        <v>560</v>
      </c>
      <c r="B61" s="178" t="s">
        <v>561</v>
      </c>
      <c r="C61" s="179" t="s">
        <v>9</v>
      </c>
      <c r="D61" s="180" t="s">
        <v>431</v>
      </c>
    </row>
    <row r="62" spans="1:4" ht="15" thickBot="1">
      <c r="A62" s="177" t="s">
        <v>562</v>
      </c>
      <c r="B62" s="178" t="s">
        <v>563</v>
      </c>
      <c r="C62" s="179" t="s">
        <v>483</v>
      </c>
      <c r="D62" s="180" t="s">
        <v>431</v>
      </c>
    </row>
    <row r="63" spans="1:4" ht="15" thickBot="1">
      <c r="A63" s="177" t="s">
        <v>564</v>
      </c>
      <c r="B63" s="178" t="s">
        <v>565</v>
      </c>
      <c r="C63" s="179" t="s">
        <v>9</v>
      </c>
      <c r="D63" s="180" t="s">
        <v>431</v>
      </c>
    </row>
    <row r="64" spans="1:4" ht="15" thickBot="1">
      <c r="A64" s="177" t="s">
        <v>566</v>
      </c>
      <c r="B64" s="178" t="s">
        <v>567</v>
      </c>
      <c r="C64" s="179" t="s">
        <v>9</v>
      </c>
      <c r="D64" s="180" t="s">
        <v>431</v>
      </c>
    </row>
    <row r="65" spans="1:4" ht="15" thickBot="1">
      <c r="A65" s="177" t="s">
        <v>568</v>
      </c>
      <c r="B65" s="178" t="s">
        <v>569</v>
      </c>
      <c r="C65" s="179" t="s">
        <v>9</v>
      </c>
      <c r="D65" s="180" t="s">
        <v>431</v>
      </c>
    </row>
    <row r="66" spans="1:4" ht="15" thickBot="1">
      <c r="A66" s="177" t="s">
        <v>570</v>
      </c>
      <c r="B66" s="178" t="s">
        <v>571</v>
      </c>
      <c r="C66" s="179" t="s">
        <v>430</v>
      </c>
      <c r="D66" s="180" t="s">
        <v>431</v>
      </c>
    </row>
    <row r="67" spans="1:4" ht="15" thickBot="1">
      <c r="A67" s="177" t="s">
        <v>572</v>
      </c>
      <c r="B67" s="178" t="s">
        <v>573</v>
      </c>
      <c r="C67" s="179" t="s">
        <v>9</v>
      </c>
      <c r="D67" s="181" t="s">
        <v>525</v>
      </c>
    </row>
    <row r="68" spans="1:4" ht="15" thickBot="1">
      <c r="A68" s="177" t="s">
        <v>574</v>
      </c>
      <c r="B68" s="178" t="s">
        <v>575</v>
      </c>
      <c r="C68" s="179" t="s">
        <v>9</v>
      </c>
      <c r="D68" s="180" t="s">
        <v>431</v>
      </c>
    </row>
    <row r="69" spans="1:4" ht="15" thickBot="1">
      <c r="A69" s="177" t="s">
        <v>576</v>
      </c>
      <c r="B69" s="178" t="s">
        <v>577</v>
      </c>
      <c r="C69" s="179" t="s">
        <v>578</v>
      </c>
      <c r="D69" s="180" t="s">
        <v>431</v>
      </c>
    </row>
    <row r="70" spans="1:4" ht="15" thickBot="1">
      <c r="A70" s="177" t="s">
        <v>579</v>
      </c>
      <c r="B70" s="178" t="s">
        <v>580</v>
      </c>
      <c r="C70" s="179" t="s">
        <v>581</v>
      </c>
      <c r="D70" s="181" t="s">
        <v>525</v>
      </c>
    </row>
    <row r="71" spans="1:4" ht="15" thickBot="1">
      <c r="A71" s="177" t="s">
        <v>582</v>
      </c>
      <c r="B71" s="178" t="s">
        <v>583</v>
      </c>
      <c r="C71" s="179" t="s">
        <v>9</v>
      </c>
      <c r="D71" s="180" t="s">
        <v>431</v>
      </c>
    </row>
    <row r="72" spans="1:4" ht="15" thickBot="1">
      <c r="A72" s="177" t="s">
        <v>584</v>
      </c>
      <c r="B72" s="178" t="s">
        <v>585</v>
      </c>
      <c r="C72" s="179" t="s">
        <v>430</v>
      </c>
      <c r="D72" s="180" t="s">
        <v>431</v>
      </c>
    </row>
    <row r="73" spans="1:4" ht="15" thickBot="1">
      <c r="A73" s="177" t="s">
        <v>586</v>
      </c>
      <c r="B73" s="178" t="s">
        <v>587</v>
      </c>
      <c r="C73" s="179" t="s">
        <v>588</v>
      </c>
      <c r="D73" s="180" t="s">
        <v>431</v>
      </c>
    </row>
    <row r="74" spans="1:4" ht="15" thickBot="1">
      <c r="A74" s="177" t="s">
        <v>589</v>
      </c>
      <c r="B74" s="178" t="s">
        <v>590</v>
      </c>
      <c r="C74" s="179" t="s">
        <v>9</v>
      </c>
      <c r="D74" s="181" t="s">
        <v>525</v>
      </c>
    </row>
    <row r="75" spans="1:4" ht="15" thickBot="1">
      <c r="A75" s="177" t="s">
        <v>591</v>
      </c>
      <c r="B75" s="178" t="s">
        <v>592</v>
      </c>
      <c r="C75" s="179" t="s">
        <v>9</v>
      </c>
      <c r="D75" s="180" t="s">
        <v>431</v>
      </c>
    </row>
    <row r="76" spans="1:4" ht="15" thickBot="1">
      <c r="A76" s="177" t="s">
        <v>593</v>
      </c>
      <c r="B76" s="178" t="s">
        <v>594</v>
      </c>
      <c r="C76" s="179" t="s">
        <v>9</v>
      </c>
      <c r="D76" s="180" t="s">
        <v>431</v>
      </c>
    </row>
    <row r="77" spans="1:4" ht="15" thickBot="1">
      <c r="A77" s="177" t="s">
        <v>595</v>
      </c>
      <c r="B77" s="178" t="s">
        <v>596</v>
      </c>
      <c r="C77" s="179" t="s">
        <v>9</v>
      </c>
      <c r="D77" s="181" t="s">
        <v>525</v>
      </c>
    </row>
    <row r="78" spans="1:4" ht="15" thickBot="1">
      <c r="A78" s="177" t="s">
        <v>597</v>
      </c>
      <c r="B78" s="178" t="s">
        <v>598</v>
      </c>
      <c r="C78" s="179" t="s">
        <v>9</v>
      </c>
      <c r="D78" s="180" t="s">
        <v>431</v>
      </c>
    </row>
    <row r="79" spans="1:4" ht="15" thickBot="1">
      <c r="A79" s="177" t="s">
        <v>599</v>
      </c>
      <c r="B79" s="178" t="s">
        <v>600</v>
      </c>
      <c r="C79" s="179" t="s">
        <v>601</v>
      </c>
      <c r="D79" s="181" t="s">
        <v>514</v>
      </c>
    </row>
    <row r="80" spans="1:4" ht="15" thickBot="1">
      <c r="A80" s="177" t="s">
        <v>602</v>
      </c>
      <c r="B80" s="178" t="s">
        <v>603</v>
      </c>
      <c r="C80" s="179" t="s">
        <v>430</v>
      </c>
      <c r="D80" s="182" t="s">
        <v>519</v>
      </c>
    </row>
    <row r="81" spans="1:4" ht="15" thickBot="1">
      <c r="A81" s="177" t="s">
        <v>604</v>
      </c>
      <c r="B81" s="178" t="s">
        <v>605</v>
      </c>
      <c r="C81" s="179" t="s">
        <v>606</v>
      </c>
      <c r="D81" s="182" t="s">
        <v>519</v>
      </c>
    </row>
    <row r="82" spans="1:4" ht="15" thickBot="1">
      <c r="A82" s="177" t="s">
        <v>607</v>
      </c>
      <c r="B82" s="178" t="s">
        <v>608</v>
      </c>
      <c r="C82" s="179" t="s">
        <v>9</v>
      </c>
      <c r="D82" s="181" t="s">
        <v>514</v>
      </c>
    </row>
    <row r="83" spans="1:4" ht="15" thickBot="1">
      <c r="A83" s="177" t="s">
        <v>609</v>
      </c>
      <c r="B83" s="178" t="s">
        <v>610</v>
      </c>
      <c r="C83" s="179" t="s">
        <v>9</v>
      </c>
      <c r="D83" s="181" t="s">
        <v>514</v>
      </c>
    </row>
    <row r="84" spans="1:4" ht="15" thickBot="1">
      <c r="A84" s="177" t="s">
        <v>611</v>
      </c>
      <c r="B84" s="178" t="s">
        <v>612</v>
      </c>
      <c r="C84" s="179" t="s">
        <v>613</v>
      </c>
      <c r="D84" s="181" t="s">
        <v>514</v>
      </c>
    </row>
    <row r="85" spans="1:4" ht="15" thickBot="1">
      <c r="A85" s="177" t="s">
        <v>614</v>
      </c>
      <c r="B85" s="178" t="s">
        <v>615</v>
      </c>
      <c r="C85" s="179" t="s">
        <v>9</v>
      </c>
      <c r="D85" s="181" t="s">
        <v>514</v>
      </c>
    </row>
    <row r="86" spans="1:4" ht="15" thickBot="1">
      <c r="A86" s="177" t="s">
        <v>616</v>
      </c>
      <c r="B86" s="178" t="s">
        <v>617</v>
      </c>
      <c r="C86" s="179" t="s">
        <v>9</v>
      </c>
      <c r="D86" s="181" t="s">
        <v>514</v>
      </c>
    </row>
    <row r="87" spans="1:4" ht="15" thickBot="1">
      <c r="A87" s="177" t="s">
        <v>618</v>
      </c>
      <c r="B87" s="178" t="s">
        <v>619</v>
      </c>
      <c r="C87" s="179" t="s">
        <v>430</v>
      </c>
      <c r="D87" s="181" t="s">
        <v>514</v>
      </c>
    </row>
    <row r="88" spans="1:4" ht="15" thickBot="1">
      <c r="A88" s="177" t="s">
        <v>620</v>
      </c>
      <c r="B88" s="178" t="s">
        <v>621</v>
      </c>
      <c r="C88" s="179" t="s">
        <v>622</v>
      </c>
      <c r="D88" s="180" t="s">
        <v>431</v>
      </c>
    </row>
    <row r="89" spans="1:4" ht="15" thickBot="1">
      <c r="A89" s="177" t="s">
        <v>623</v>
      </c>
      <c r="B89" s="178" t="s">
        <v>624</v>
      </c>
      <c r="C89" s="179" t="s">
        <v>9</v>
      </c>
      <c r="D89" s="181" t="s">
        <v>514</v>
      </c>
    </row>
    <row r="90" spans="1:4" ht="15" thickBot="1">
      <c r="A90" s="177" t="s">
        <v>625</v>
      </c>
      <c r="B90" s="178" t="s">
        <v>626</v>
      </c>
      <c r="C90" s="179" t="s">
        <v>9</v>
      </c>
      <c r="D90" s="182" t="s">
        <v>519</v>
      </c>
    </row>
    <row r="91" spans="1:4" ht="15" thickBot="1">
      <c r="A91" s="177" t="s">
        <v>627</v>
      </c>
      <c r="B91" s="178" t="s">
        <v>628</v>
      </c>
      <c r="C91" s="179" t="s">
        <v>9</v>
      </c>
      <c r="D91" s="180" t="s">
        <v>431</v>
      </c>
    </row>
    <row r="92" spans="1:4" ht="15" thickBot="1">
      <c r="A92" s="177" t="s">
        <v>629</v>
      </c>
      <c r="B92" s="178" t="s">
        <v>630</v>
      </c>
      <c r="C92" s="179" t="s">
        <v>9</v>
      </c>
      <c r="D92" s="181" t="s">
        <v>525</v>
      </c>
    </row>
    <row r="93" spans="1:4" ht="15" thickBot="1">
      <c r="A93" s="177" t="s">
        <v>631</v>
      </c>
      <c r="B93" s="178" t="s">
        <v>632</v>
      </c>
      <c r="C93" s="179" t="s">
        <v>9</v>
      </c>
      <c r="D93" s="181" t="s">
        <v>514</v>
      </c>
    </row>
    <row r="94" spans="1:4" ht="15" thickBot="1">
      <c r="A94" s="177" t="s">
        <v>633</v>
      </c>
      <c r="B94" s="178" t="s">
        <v>634</v>
      </c>
      <c r="C94" s="179" t="s">
        <v>9</v>
      </c>
      <c r="D94" s="180" t="s">
        <v>431</v>
      </c>
    </row>
    <row r="95" spans="1:4" ht="15" thickBot="1">
      <c r="A95" s="177" t="s">
        <v>635</v>
      </c>
      <c r="B95" s="178" t="s">
        <v>636</v>
      </c>
      <c r="C95" s="179" t="s">
        <v>9</v>
      </c>
      <c r="D95" s="180" t="s">
        <v>431</v>
      </c>
    </row>
    <row r="96" spans="1:4" ht="15" thickBot="1">
      <c r="A96" s="177" t="s">
        <v>637</v>
      </c>
      <c r="B96" s="178" t="s">
        <v>638</v>
      </c>
      <c r="C96" s="179" t="s">
        <v>9</v>
      </c>
      <c r="D96" s="182" t="s">
        <v>519</v>
      </c>
    </row>
    <row r="97" spans="1:5" ht="15" thickBot="1">
      <c r="A97" s="177" t="s">
        <v>639</v>
      </c>
      <c r="B97" s="178" t="s">
        <v>640</v>
      </c>
      <c r="C97" s="179" t="s">
        <v>9</v>
      </c>
      <c r="D97" s="181" t="s">
        <v>514</v>
      </c>
    </row>
    <row r="98" spans="1:5" ht="15" thickBot="1">
      <c r="A98" s="177" t="s">
        <v>641</v>
      </c>
      <c r="B98" s="178" t="s">
        <v>642</v>
      </c>
      <c r="C98" s="179" t="s">
        <v>9</v>
      </c>
      <c r="D98" s="180" t="s">
        <v>431</v>
      </c>
    </row>
    <row r="99" spans="1:5" ht="15" thickBot="1">
      <c r="A99" s="177" t="s">
        <v>643</v>
      </c>
      <c r="B99" s="178" t="s">
        <v>644</v>
      </c>
      <c r="C99" s="179" t="s">
        <v>645</v>
      </c>
      <c r="D99" s="181" t="s">
        <v>514</v>
      </c>
    </row>
    <row r="100" spans="1:5" ht="15" thickBot="1">
      <c r="A100" s="177" t="s">
        <v>646</v>
      </c>
      <c r="B100" s="178" t="s">
        <v>647</v>
      </c>
      <c r="C100" s="179" t="s">
        <v>9</v>
      </c>
      <c r="D100" s="181" t="s">
        <v>514</v>
      </c>
    </row>
    <row r="101" spans="1:5" ht="15" thickBot="1">
      <c r="A101" s="177" t="s">
        <v>648</v>
      </c>
      <c r="B101" s="178" t="s">
        <v>649</v>
      </c>
      <c r="C101" s="179" t="s">
        <v>9</v>
      </c>
      <c r="D101" s="181" t="s">
        <v>514</v>
      </c>
    </row>
    <row r="102" spans="1:5" ht="15" thickBot="1">
      <c r="A102" s="177" t="s">
        <v>650</v>
      </c>
      <c r="B102" s="178" t="s">
        <v>651</v>
      </c>
      <c r="C102" s="179" t="s">
        <v>652</v>
      </c>
      <c r="D102" s="182" t="s">
        <v>519</v>
      </c>
      <c r="E102" t="s">
        <v>427</v>
      </c>
    </row>
    <row r="103" spans="1:5" ht="15" thickBot="1">
      <c r="A103" s="177" t="s">
        <v>653</v>
      </c>
      <c r="B103" s="178" t="s">
        <v>654</v>
      </c>
      <c r="C103" s="179" t="s">
        <v>483</v>
      </c>
      <c r="D103" s="182" t="s">
        <v>519</v>
      </c>
    </row>
    <row r="104" spans="1:5" ht="15" thickBot="1">
      <c r="A104" s="177" t="s">
        <v>655</v>
      </c>
      <c r="B104" s="178" t="s">
        <v>656</v>
      </c>
      <c r="C104" s="179" t="s">
        <v>9</v>
      </c>
      <c r="D104" s="181" t="s">
        <v>514</v>
      </c>
    </row>
    <row r="105" spans="1:5" ht="15" thickBot="1">
      <c r="A105" s="177" t="s">
        <v>657</v>
      </c>
      <c r="B105" s="178" t="s">
        <v>658</v>
      </c>
      <c r="C105" s="179" t="s">
        <v>9</v>
      </c>
      <c r="D105" s="182" t="s">
        <v>519</v>
      </c>
    </row>
    <row r="106" spans="1:5" ht="15" thickBot="1">
      <c r="A106" s="177" t="s">
        <v>659</v>
      </c>
      <c r="B106" s="178" t="s">
        <v>660</v>
      </c>
      <c r="C106" s="179" t="s">
        <v>9</v>
      </c>
      <c r="D106" s="181" t="s">
        <v>525</v>
      </c>
    </row>
    <row r="107" spans="1:5" ht="15" thickBot="1">
      <c r="A107" s="177" t="s">
        <v>661</v>
      </c>
      <c r="B107" s="178" t="s">
        <v>662</v>
      </c>
      <c r="C107" s="179" t="s">
        <v>9</v>
      </c>
      <c r="D107" s="182" t="s">
        <v>519</v>
      </c>
    </row>
    <row r="108" spans="1:5" ht="15" thickBot="1">
      <c r="A108" s="177" t="s">
        <v>663</v>
      </c>
      <c r="B108" s="178" t="s">
        <v>664</v>
      </c>
      <c r="C108" s="179" t="s">
        <v>9</v>
      </c>
      <c r="D108" s="182" t="s">
        <v>519</v>
      </c>
    </row>
    <row r="109" spans="1:5" ht="15" thickBot="1">
      <c r="A109" s="177" t="s">
        <v>665</v>
      </c>
      <c r="B109" s="178" t="s">
        <v>666</v>
      </c>
      <c r="C109" s="183" t="s">
        <v>9</v>
      </c>
      <c r="D109" s="182" t="s">
        <v>519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54DFB-41AE-4EE4-98EE-0DA067F1F849}">
  <sheetPr>
    <pageSetUpPr fitToPage="1"/>
  </sheetPr>
  <dimension ref="A1:Z192"/>
  <sheetViews>
    <sheetView zoomScale="55" zoomScaleNormal="55" zoomScaleSheetLayoutView="70" workbookViewId="0">
      <pane xSplit="2" ySplit="5" topLeftCell="C6" activePane="bottomRight" state="frozen"/>
      <selection pane="bottomRight" activeCell="E22" sqref="E22"/>
      <selection pane="bottomLeft"/>
      <selection pane="topRight"/>
    </sheetView>
  </sheetViews>
  <sheetFormatPr defaultColWidth="9.140625" defaultRowHeight="14.45" outlineLevelRow="1"/>
  <cols>
    <col min="1" max="1" width="12" style="52" customWidth="1"/>
    <col min="2" max="2" width="39.42578125" style="52" customWidth="1"/>
    <col min="3" max="3" width="9.5703125" style="52" customWidth="1"/>
    <col min="4" max="4" width="8.7109375" style="52" customWidth="1"/>
    <col min="5" max="5" width="60.140625" style="52" customWidth="1"/>
    <col min="6" max="6" width="54.42578125" style="52" customWidth="1"/>
    <col min="7" max="7" width="12.28515625" style="28" bestFit="1" customWidth="1"/>
    <col min="8" max="8" width="13" style="28" bestFit="1" customWidth="1"/>
    <col min="9" max="9" width="16.42578125" style="28" bestFit="1" customWidth="1"/>
    <col min="10" max="11" width="23.5703125" style="28" bestFit="1" customWidth="1"/>
    <col min="12" max="12" width="13.85546875" style="28" bestFit="1" customWidth="1"/>
    <col min="13" max="13" width="17" style="28" bestFit="1" customWidth="1"/>
    <col min="14" max="14" width="16.42578125" style="28" bestFit="1" customWidth="1"/>
    <col min="15" max="15" width="12.85546875" style="28" bestFit="1" customWidth="1"/>
    <col min="16" max="16" width="8.140625" style="28" bestFit="1" customWidth="1"/>
    <col min="17" max="17" width="12" style="28" bestFit="1" customWidth="1"/>
    <col min="18" max="18" width="13.7109375" style="28" bestFit="1" customWidth="1"/>
    <col min="19" max="19" width="17" style="28" bestFit="1" customWidth="1"/>
    <col min="20" max="20" width="8.28515625" style="28" bestFit="1" customWidth="1"/>
    <col min="21" max="21" width="42.85546875" style="28" customWidth="1"/>
    <col min="22" max="22" width="29.28515625" style="28" customWidth="1"/>
    <col min="23" max="23" width="11.5703125" style="28" bestFit="1" customWidth="1"/>
    <col min="24" max="24" width="9.7109375" style="28" bestFit="1" customWidth="1"/>
    <col min="25" max="25" width="12.5703125" style="28" bestFit="1" customWidth="1"/>
    <col min="26" max="26" width="6.5703125" style="28" bestFit="1" customWidth="1"/>
    <col min="27" max="16384" width="9.140625" style="28"/>
  </cols>
  <sheetData>
    <row r="1" spans="1:17" ht="15.6">
      <c r="A1" s="26" t="s">
        <v>0</v>
      </c>
      <c r="B1" s="27" t="s">
        <v>1</v>
      </c>
      <c r="C1" s="26"/>
      <c r="D1" s="26"/>
      <c r="E1" s="26"/>
      <c r="F1" s="26"/>
      <c r="G1" s="26"/>
      <c r="H1" s="26"/>
      <c r="I1" s="26"/>
      <c r="J1" s="26"/>
      <c r="K1" s="26"/>
      <c r="L1" s="26"/>
      <c r="M1" s="26"/>
      <c r="N1" s="26"/>
      <c r="O1" s="26"/>
      <c r="P1" s="26"/>
      <c r="Q1" s="26"/>
    </row>
    <row r="2" spans="1:17" ht="15.6">
      <c r="A2" s="29" t="s">
        <v>2</v>
      </c>
      <c r="B2" s="30" t="s">
        <v>3</v>
      </c>
      <c r="C2" s="30"/>
      <c r="D2" s="29" t="s">
        <v>4</v>
      </c>
      <c r="E2" s="30" t="s">
        <v>4</v>
      </c>
      <c r="F2" s="29" t="s">
        <v>4</v>
      </c>
      <c r="G2" s="29"/>
      <c r="H2" s="29"/>
      <c r="I2" s="29"/>
      <c r="J2" s="29" t="s">
        <v>4</v>
      </c>
      <c r="K2" s="29" t="s">
        <v>4</v>
      </c>
      <c r="L2" s="29" t="s">
        <v>4</v>
      </c>
      <c r="M2" s="29" t="s">
        <v>4</v>
      </c>
      <c r="N2" s="29" t="s">
        <v>4</v>
      </c>
      <c r="O2" s="29" t="s">
        <v>4</v>
      </c>
      <c r="P2" s="29" t="s">
        <v>4</v>
      </c>
      <c r="Q2" s="29" t="s">
        <v>4</v>
      </c>
    </row>
    <row r="3" spans="1:17">
      <c r="A3" s="31"/>
      <c r="B3" s="32" t="s">
        <v>5</v>
      </c>
      <c r="C3" s="33"/>
      <c r="D3" s="34" t="s">
        <v>4</v>
      </c>
      <c r="E3" s="35" t="s">
        <v>6</v>
      </c>
      <c r="F3" s="31"/>
      <c r="G3" s="31"/>
      <c r="H3" s="31"/>
      <c r="I3" s="31"/>
      <c r="J3" s="31"/>
      <c r="K3" s="31"/>
      <c r="L3" s="31"/>
      <c r="M3" s="31"/>
      <c r="N3" s="31"/>
      <c r="O3" s="31"/>
      <c r="P3" s="31"/>
      <c r="Q3" s="208"/>
    </row>
    <row r="4" spans="1:17">
      <c r="A4" s="31"/>
      <c r="B4" s="36" t="s">
        <v>7</v>
      </c>
      <c r="C4" s="37"/>
      <c r="D4" s="38"/>
      <c r="E4" s="39">
        <f>WEEKNUM(E6)</f>
        <v>28</v>
      </c>
      <c r="F4" s="31"/>
      <c r="G4" s="31"/>
      <c r="H4" s="31"/>
      <c r="I4" s="31"/>
      <c r="J4" s="31"/>
      <c r="K4" s="31"/>
      <c r="L4" s="31"/>
      <c r="M4" s="31"/>
      <c r="N4" s="31"/>
      <c r="O4" s="31"/>
      <c r="P4" s="31"/>
      <c r="Q4" s="208"/>
    </row>
    <row r="5" spans="1:17">
      <c r="A5" s="40"/>
      <c r="B5" s="36" t="s">
        <v>8</v>
      </c>
      <c r="C5" s="37"/>
      <c r="D5" s="41" t="s">
        <v>4</v>
      </c>
      <c r="E5" s="42" t="s">
        <v>9</v>
      </c>
      <c r="F5" s="40"/>
      <c r="G5" s="40"/>
      <c r="H5" s="40"/>
      <c r="I5" s="40"/>
      <c r="J5" s="40"/>
      <c r="K5" s="40"/>
      <c r="L5" s="40"/>
      <c r="M5" s="40"/>
      <c r="N5" s="40"/>
      <c r="O5" s="40"/>
      <c r="P5" s="31"/>
      <c r="Q5" s="208"/>
    </row>
    <row r="6" spans="1:17">
      <c r="A6" s="40"/>
      <c r="B6" s="36" t="s">
        <v>10</v>
      </c>
      <c r="C6" s="37"/>
      <c r="D6" s="41" t="s">
        <v>4</v>
      </c>
      <c r="E6" s="43">
        <v>45850</v>
      </c>
      <c r="F6" s="40"/>
      <c r="G6" s="40"/>
      <c r="H6" s="40"/>
      <c r="I6" s="40"/>
      <c r="J6" s="40"/>
      <c r="K6" s="40"/>
      <c r="L6" s="40"/>
      <c r="M6" s="40"/>
      <c r="N6" s="40"/>
      <c r="O6" s="40"/>
      <c r="P6" s="31"/>
      <c r="Q6" s="208"/>
    </row>
    <row r="7" spans="1:17">
      <c r="A7" s="40"/>
      <c r="B7" s="36" t="s">
        <v>11</v>
      </c>
      <c r="C7" s="37"/>
      <c r="D7" s="41" t="s">
        <v>4</v>
      </c>
      <c r="E7" s="44">
        <v>0.45833333333333331</v>
      </c>
      <c r="F7" s="40"/>
      <c r="G7" s="40"/>
      <c r="H7" s="40"/>
      <c r="I7" s="40"/>
      <c r="J7" s="40"/>
      <c r="K7" s="40"/>
      <c r="L7" s="40"/>
      <c r="M7" s="40"/>
      <c r="N7" s="40"/>
      <c r="O7" s="40"/>
      <c r="P7" s="31"/>
      <c r="Q7" s="208"/>
    </row>
    <row r="8" spans="1:17">
      <c r="A8" s="40"/>
      <c r="B8" s="36" t="s">
        <v>12</v>
      </c>
      <c r="C8" s="37"/>
      <c r="D8" s="41" t="s">
        <v>4</v>
      </c>
      <c r="E8" s="42" t="s">
        <v>667</v>
      </c>
      <c r="F8" s="40"/>
      <c r="G8" s="40"/>
      <c r="H8" s="40"/>
      <c r="I8" s="40"/>
      <c r="J8" s="40"/>
      <c r="K8" s="40"/>
      <c r="L8" s="40"/>
      <c r="M8" s="40"/>
      <c r="N8" s="40"/>
      <c r="O8" s="40"/>
      <c r="P8" s="31"/>
      <c r="Q8" s="208"/>
    </row>
    <row r="9" spans="1:17" ht="27.6">
      <c r="A9" s="40"/>
      <c r="B9" s="36" t="s">
        <v>14</v>
      </c>
      <c r="C9" s="37"/>
      <c r="D9" s="41" t="s">
        <v>4</v>
      </c>
      <c r="E9" s="45" t="s">
        <v>15</v>
      </c>
      <c r="F9" s="40"/>
      <c r="G9" s="40"/>
      <c r="H9" s="40"/>
      <c r="I9" s="40"/>
      <c r="J9" s="40"/>
      <c r="K9" s="40"/>
      <c r="L9" s="40"/>
      <c r="M9" s="40"/>
      <c r="N9" s="40"/>
      <c r="O9" s="40"/>
      <c r="P9" s="31"/>
      <c r="Q9" s="208"/>
    </row>
    <row r="10" spans="1:17">
      <c r="A10" s="40"/>
      <c r="B10" s="36" t="s">
        <v>16</v>
      </c>
      <c r="C10" s="37"/>
      <c r="D10" s="41"/>
      <c r="E10" s="43">
        <f>E6+7</f>
        <v>45857</v>
      </c>
      <c r="F10" s="40"/>
      <c r="G10" s="40"/>
      <c r="H10" s="40"/>
      <c r="I10" s="40"/>
      <c r="J10" s="40"/>
      <c r="K10" s="40"/>
      <c r="L10" s="40"/>
      <c r="M10" s="40"/>
      <c r="N10" s="40"/>
      <c r="O10" s="40"/>
      <c r="P10" s="31"/>
      <c r="Q10" s="208"/>
    </row>
    <row r="11" spans="1:17">
      <c r="A11" s="31"/>
      <c r="B11" s="46"/>
      <c r="C11" s="46"/>
      <c r="D11" s="31"/>
      <c r="E11" s="46"/>
      <c r="F11" s="31"/>
      <c r="G11" s="31"/>
      <c r="H11" s="31"/>
      <c r="I11" s="31"/>
      <c r="J11" s="31"/>
      <c r="K11" s="31"/>
      <c r="L11" s="31"/>
      <c r="M11" s="31"/>
      <c r="N11" s="31"/>
      <c r="O11" s="31"/>
      <c r="P11" s="31"/>
      <c r="Q11" s="208"/>
    </row>
    <row r="12" spans="1:17" s="52" customFormat="1" ht="15.6">
      <c r="A12" s="47" t="s">
        <v>17</v>
      </c>
      <c r="B12" s="48" t="s">
        <v>18</v>
      </c>
      <c r="C12" s="49" t="s">
        <v>19</v>
      </c>
      <c r="D12" s="50" t="s">
        <v>20</v>
      </c>
      <c r="E12" s="48" t="s">
        <v>21</v>
      </c>
      <c r="F12" s="48" t="s">
        <v>22</v>
      </c>
      <c r="G12" s="51"/>
      <c r="H12" s="51"/>
      <c r="I12" s="47" t="s">
        <v>4</v>
      </c>
      <c r="J12" s="47" t="s">
        <v>4</v>
      </c>
      <c r="K12" s="51" t="s">
        <v>4</v>
      </c>
      <c r="L12" s="47" t="s">
        <v>4</v>
      </c>
      <c r="M12" s="47" t="s">
        <v>4</v>
      </c>
      <c r="N12" s="47" t="s">
        <v>4</v>
      </c>
      <c r="O12" s="47" t="s">
        <v>4</v>
      </c>
      <c r="P12" s="47" t="s">
        <v>4</v>
      </c>
      <c r="Q12" s="242"/>
    </row>
    <row r="13" spans="1:17" s="52" customFormat="1" outlineLevel="1">
      <c r="A13" s="53"/>
      <c r="B13" s="54" t="str">
        <f>IF(ISBLANK(E13), "", INDEX(OWNER_LIST[Role], MATCH(E13,OWNER_LIST[Owner Name], 0)))</f>
        <v>Senior Architect</v>
      </c>
      <c r="C13" s="55" t="str">
        <f>IF(ISBLANK(E13), "", INDEX(OWNER_LIST[Owner ORG], MATCH(E13,OWNER_LIST[Owner Name], 0)))</f>
        <v>SHP</v>
      </c>
      <c r="D13" s="56" t="s">
        <v>23</v>
      </c>
      <c r="E13" s="54" t="s">
        <v>320</v>
      </c>
      <c r="F13" s="53"/>
      <c r="G13" s="53"/>
      <c r="H13" s="53"/>
      <c r="I13" s="53"/>
      <c r="J13" s="53"/>
      <c r="K13" s="53"/>
      <c r="L13" s="53"/>
      <c r="M13" s="53"/>
      <c r="N13" s="53"/>
      <c r="O13" s="53"/>
      <c r="P13" s="242"/>
      <c r="Q13" s="242"/>
    </row>
    <row r="14" spans="1:17" s="52" customFormat="1" outlineLevel="1">
      <c r="A14" s="53"/>
      <c r="B14" s="57" t="str">
        <f>IF(ISBLANK(E14), "", INDEX(OWNER_LIST[Role], MATCH(E14,OWNER_LIST[Owner Name], 0)))</f>
        <v>Design Manager (DM)</v>
      </c>
      <c r="C14" s="58" t="str">
        <f>IF(ISBLANK(E14), "", INDEX(OWNER_LIST[Owner ORG], MATCH(E14,OWNER_LIST[Owner Name], 0)))</f>
        <v>SHP</v>
      </c>
      <c r="D14" s="56" t="s">
        <v>23</v>
      </c>
      <c r="E14" s="59" t="s">
        <v>40</v>
      </c>
      <c r="F14" s="53"/>
      <c r="G14" s="53"/>
      <c r="H14" s="53"/>
      <c r="I14" s="53"/>
      <c r="J14" s="53"/>
      <c r="K14" s="53"/>
      <c r="L14" s="53"/>
      <c r="M14" s="53"/>
      <c r="N14" s="53"/>
      <c r="O14" s="53"/>
      <c r="P14" s="242"/>
      <c r="Q14" s="242"/>
    </row>
    <row r="15" spans="1:17" s="52" customFormat="1" outlineLevel="1">
      <c r="A15" s="53"/>
      <c r="B15" s="57" t="str">
        <f>IF(ISBLANK(E15), "", INDEX(OWNER_LIST[Role], MATCH(E15,OWNER_LIST[Owner Name], 0)))</f>
        <v>Security Site Construction Management</v>
      </c>
      <c r="C15" s="58" t="str">
        <f>IF(ISBLANK(E15), "", INDEX(OWNER_LIST[Owner ORG], MATCH(E15,OWNER_LIST[Owner Name], 0)))</f>
        <v>SHP</v>
      </c>
      <c r="D15" s="56" t="s">
        <v>23</v>
      </c>
      <c r="E15" s="59" t="s">
        <v>668</v>
      </c>
      <c r="F15" s="53"/>
      <c r="G15" s="60"/>
      <c r="H15" s="60"/>
      <c r="I15" s="53"/>
      <c r="J15" s="53"/>
      <c r="K15" s="53"/>
      <c r="L15" s="53"/>
      <c r="M15" s="53"/>
      <c r="N15" s="53"/>
      <c r="O15" s="53"/>
      <c r="P15" s="242"/>
      <c r="Q15" s="242"/>
    </row>
    <row r="16" spans="1:17" s="52" customFormat="1" outlineLevel="1">
      <c r="A16" s="53"/>
      <c r="B16" s="57" t="str">
        <f>IF(ISBLANK(E16), "", INDEX(OWNER_LIST[Role], MATCH(E16,OWNER_LIST[Owner Name], 0)))</f>
        <v>Move Specialist / Doc Controller</v>
      </c>
      <c r="C16" s="58" t="str">
        <f>IF(ISBLANK(E16), "", INDEX(OWNER_LIST[Owner ORG], MATCH(E16,OWNER_LIST[Owner Name], 0)))</f>
        <v>RPN</v>
      </c>
      <c r="D16" s="58" t="s">
        <v>26</v>
      </c>
      <c r="E16" s="59" t="s">
        <v>31</v>
      </c>
      <c r="F16" s="53" t="s">
        <v>669</v>
      </c>
      <c r="G16" s="53"/>
      <c r="H16" s="53"/>
      <c r="I16" s="53"/>
      <c r="J16" s="53"/>
      <c r="K16" s="53"/>
      <c r="L16" s="53"/>
      <c r="M16" s="53"/>
      <c r="N16" s="53"/>
      <c r="O16" s="53"/>
      <c r="P16" s="242"/>
      <c r="Q16" s="242"/>
    </row>
    <row r="17" spans="1:26" s="52" customFormat="1" outlineLevel="1">
      <c r="A17" s="53"/>
      <c r="B17" s="57" t="str">
        <f>IF(ISBLANK(E17), "", INDEX(OWNER_LIST[Role], MATCH(E17,OWNER_LIST[Owner Name], 0)))</f>
        <v/>
      </c>
      <c r="C17" s="58" t="str">
        <f>IF(ISBLANK(E17), "", INDEX(OWNER_LIST[Owner ORG], MATCH(E17,OWNER_LIST[Owner Name], 0)))</f>
        <v/>
      </c>
      <c r="D17" s="58" t="s">
        <v>26</v>
      </c>
      <c r="E17" s="59"/>
      <c r="F17" s="53" t="s">
        <v>670</v>
      </c>
      <c r="G17" s="60"/>
      <c r="H17" s="60" t="s">
        <v>671</v>
      </c>
      <c r="I17" s="53"/>
      <c r="J17" s="53"/>
      <c r="K17" s="53"/>
      <c r="L17" s="53"/>
      <c r="M17" s="53"/>
      <c r="N17" s="53"/>
      <c r="O17" s="53"/>
      <c r="P17" s="242"/>
      <c r="Q17" s="242"/>
      <c r="R17" s="242"/>
      <c r="S17" s="242"/>
      <c r="T17" s="242"/>
      <c r="U17" s="242"/>
      <c r="V17" s="242"/>
      <c r="W17" s="242"/>
      <c r="X17" s="242"/>
      <c r="Y17" s="242"/>
      <c r="Z17" s="242"/>
    </row>
    <row r="18" spans="1:26" s="52" customFormat="1" outlineLevel="1">
      <c r="A18" s="53"/>
      <c r="B18" s="57" t="str">
        <f>IF(ISBLANK(E18), "", INDEX(OWNER_LIST[Role], MATCH(E18,OWNER_LIST[Owner Name], 0)))</f>
        <v/>
      </c>
      <c r="C18" s="58" t="str">
        <f>IF(ISBLANK(E18), "", INDEX(OWNER_LIST[Owner ORG], MATCH(E18,OWNER_LIST[Owner Name], 0)))</f>
        <v/>
      </c>
      <c r="D18" s="58" t="s">
        <v>26</v>
      </c>
      <c r="E18" s="59"/>
      <c r="F18" s="53" t="s">
        <v>672</v>
      </c>
      <c r="G18" s="60"/>
      <c r="H18" s="60"/>
      <c r="I18" s="53"/>
      <c r="J18" s="53"/>
      <c r="K18" s="53"/>
      <c r="L18" s="53"/>
      <c r="M18" s="53"/>
      <c r="N18" s="53"/>
      <c r="O18" s="53"/>
      <c r="P18" s="242"/>
      <c r="Q18" s="242"/>
      <c r="R18" s="242"/>
      <c r="S18" s="242"/>
      <c r="T18" s="242"/>
      <c r="U18" s="242"/>
      <c r="V18" s="242"/>
      <c r="W18" s="242"/>
      <c r="X18" s="242"/>
      <c r="Y18" s="242"/>
      <c r="Z18" s="242"/>
    </row>
    <row r="19" spans="1:26" s="52" customFormat="1" outlineLevel="1">
      <c r="A19" s="53"/>
      <c r="B19" s="57" t="str">
        <f>IF(ISBLANK(E19), "", INDEX(OWNER_LIST[Role], MATCH(E19,OWNER_LIST[Owner Name], 0)))</f>
        <v/>
      </c>
      <c r="C19" s="58" t="str">
        <f>IF(ISBLANK(E19), "", INDEX(OWNER_LIST[Owner ORG], MATCH(E19,OWNER_LIST[Owner Name], 0)))</f>
        <v/>
      </c>
      <c r="D19" s="58" t="s">
        <v>26</v>
      </c>
      <c r="E19" s="59"/>
      <c r="F19" s="53"/>
      <c r="G19" s="53"/>
      <c r="H19" s="53"/>
      <c r="I19" s="53"/>
      <c r="J19" s="53"/>
      <c r="K19" s="53"/>
      <c r="L19" s="53"/>
      <c r="M19" s="53"/>
      <c r="N19" s="53"/>
      <c r="O19" s="53"/>
      <c r="P19" s="242"/>
      <c r="Q19" s="242"/>
      <c r="R19" s="242"/>
      <c r="S19" s="242"/>
      <c r="T19" s="242"/>
      <c r="U19" s="242"/>
      <c r="V19" s="242"/>
      <c r="W19" s="242"/>
      <c r="X19" s="242"/>
      <c r="Y19" s="242"/>
      <c r="Z19" s="242"/>
    </row>
    <row r="20" spans="1:26" s="52" customFormat="1" outlineLevel="1">
      <c r="A20" s="53"/>
      <c r="B20" s="57" t="str">
        <f>IF(ISBLANK(E20), "", INDEX(OWNER_LIST[Role], MATCH(E20,OWNER_LIST[Owner Name], 0)))</f>
        <v/>
      </c>
      <c r="C20" s="58" t="str">
        <f>IF(ISBLANK(E20), "", INDEX(OWNER_LIST[Owner ORG], MATCH(E20,OWNER_LIST[Owner Name], 0)))</f>
        <v/>
      </c>
      <c r="D20" s="58" t="s">
        <v>26</v>
      </c>
      <c r="E20" s="59"/>
      <c r="F20" s="53"/>
      <c r="G20" s="53"/>
      <c r="H20" s="53"/>
      <c r="I20" s="53"/>
      <c r="J20" s="53"/>
      <c r="K20" s="53"/>
      <c r="L20" s="53"/>
      <c r="M20" s="53"/>
      <c r="N20" s="53"/>
      <c r="O20" s="53"/>
      <c r="P20" s="242"/>
      <c r="Q20" s="242"/>
      <c r="R20" s="242"/>
      <c r="S20" s="242"/>
      <c r="T20" s="242"/>
      <c r="U20" s="242"/>
      <c r="V20" s="242"/>
      <c r="W20" s="242"/>
      <c r="X20" s="242"/>
      <c r="Y20" s="242"/>
      <c r="Z20" s="242"/>
    </row>
    <row r="21" spans="1:26" s="52" customFormat="1" outlineLevel="1">
      <c r="A21" s="53"/>
      <c r="B21" s="57" t="str">
        <f>IF(ISBLANK(E21), "", INDEX(OWNER_LIST[Role], MATCH(E21,OWNER_LIST[Owner Name], 0)))</f>
        <v/>
      </c>
      <c r="C21" s="58" t="str">
        <f>IF(ISBLANK(E21), "", INDEX(OWNER_LIST[Owner ORG], MATCH(E21,OWNER_LIST[Owner Name], 0)))</f>
        <v/>
      </c>
      <c r="D21" s="58" t="s">
        <v>26</v>
      </c>
      <c r="E21" s="59"/>
      <c r="F21" s="53"/>
      <c r="G21" s="60"/>
      <c r="H21" s="60"/>
      <c r="I21" s="53"/>
      <c r="J21" s="53"/>
      <c r="K21" s="53"/>
      <c r="L21" s="53"/>
      <c r="M21" s="53"/>
      <c r="N21" s="53"/>
      <c r="O21" s="53"/>
      <c r="P21" s="242"/>
      <c r="Q21" s="242"/>
      <c r="R21" s="242"/>
      <c r="S21" s="242"/>
      <c r="T21" s="242"/>
      <c r="U21" s="242"/>
      <c r="V21" s="242"/>
      <c r="W21" s="242"/>
      <c r="X21" s="242"/>
      <c r="Y21" s="242"/>
      <c r="Z21" s="242"/>
    </row>
    <row r="22" spans="1:26" s="52" customFormat="1" outlineLevel="1">
      <c r="A22" s="53"/>
      <c r="B22" s="57" t="str">
        <f>IF(ISBLANK(E22), "", INDEX(OWNER_LIST[Role], MATCH(E22,OWNER_LIST[Owner Name], 0)))</f>
        <v/>
      </c>
      <c r="C22" s="58" t="str">
        <f>IF(ISBLANK(E22), "", INDEX(OWNER_LIST[Owner ORG], MATCH(E22,OWNER_LIST[Owner Name], 0)))</f>
        <v/>
      </c>
      <c r="D22" s="58" t="s">
        <v>26</v>
      </c>
      <c r="E22" s="59"/>
      <c r="F22" s="53"/>
      <c r="G22" s="60"/>
      <c r="H22" s="60"/>
      <c r="I22" s="53"/>
      <c r="J22" s="53"/>
      <c r="K22" s="53"/>
      <c r="L22" s="53"/>
      <c r="M22" s="53"/>
      <c r="N22" s="53"/>
      <c r="O22" s="53"/>
      <c r="P22" s="242"/>
      <c r="Q22" s="242"/>
      <c r="R22" s="242"/>
      <c r="S22" s="242"/>
      <c r="T22" s="242"/>
      <c r="U22" s="242"/>
      <c r="V22" s="242"/>
      <c r="W22" s="242"/>
      <c r="X22" s="242"/>
      <c r="Y22" s="242"/>
      <c r="Z22" s="242"/>
    </row>
    <row r="23" spans="1:26" s="52" customFormat="1" outlineLevel="1">
      <c r="A23" s="53"/>
      <c r="B23" s="57" t="str">
        <f>IF(ISBLANK(E23), "", INDEX(OWNER_LIST[Role], MATCH(E23,OWNER_LIST[Owner Name], 0)))</f>
        <v/>
      </c>
      <c r="C23" s="58" t="str">
        <f>IF(ISBLANK(E23), "", INDEX(OWNER_LIST[Owner ORG], MATCH(E23,OWNER_LIST[Owner Name], 0)))</f>
        <v/>
      </c>
      <c r="D23" s="58" t="s">
        <v>26</v>
      </c>
      <c r="E23" s="59"/>
      <c r="F23" s="53"/>
      <c r="G23" s="60"/>
      <c r="H23" s="60"/>
      <c r="I23" s="53"/>
      <c r="J23" s="53"/>
      <c r="K23" s="53"/>
      <c r="L23" s="53"/>
      <c r="M23" s="53"/>
      <c r="N23" s="53"/>
      <c r="O23" s="53"/>
      <c r="P23" s="242"/>
      <c r="Q23" s="242"/>
      <c r="R23" s="242"/>
      <c r="S23" s="242"/>
      <c r="T23" s="242"/>
      <c r="U23" s="242"/>
      <c r="V23" s="242"/>
      <c r="W23" s="242"/>
      <c r="X23" s="242"/>
      <c r="Y23" s="242"/>
      <c r="Z23" s="242"/>
    </row>
    <row r="24" spans="1:26">
      <c r="A24" s="31"/>
      <c r="B24" s="208"/>
      <c r="C24" s="61"/>
      <c r="D24" s="38" t="s">
        <v>4</v>
      </c>
      <c r="E24" s="61" t="s">
        <v>4</v>
      </c>
      <c r="F24" s="38" t="s">
        <v>4</v>
      </c>
      <c r="G24" s="31"/>
      <c r="H24" s="31"/>
      <c r="I24" s="31"/>
      <c r="J24" s="31"/>
      <c r="K24" s="31"/>
      <c r="L24" s="31"/>
      <c r="M24" s="31"/>
      <c r="N24" s="31"/>
      <c r="O24" s="31"/>
      <c r="P24" s="208"/>
      <c r="Q24" s="208"/>
      <c r="R24" s="208"/>
      <c r="S24" s="208"/>
      <c r="T24" s="208"/>
      <c r="U24" s="208"/>
      <c r="V24" s="208"/>
      <c r="W24" s="208"/>
      <c r="X24" s="208"/>
      <c r="Y24" s="208"/>
      <c r="Z24" s="208"/>
    </row>
    <row r="25" spans="1:26" ht="31.15">
      <c r="A25" s="29" t="s">
        <v>47</v>
      </c>
      <c r="B25" s="30" t="s">
        <v>48</v>
      </c>
      <c r="C25" s="30" t="s">
        <v>49</v>
      </c>
      <c r="D25" s="29" t="s">
        <v>50</v>
      </c>
      <c r="E25" s="30" t="s">
        <v>51</v>
      </c>
      <c r="F25" s="29" t="s">
        <v>52</v>
      </c>
      <c r="G25" s="62" t="s">
        <v>53</v>
      </c>
      <c r="H25" s="63" t="s">
        <v>54</v>
      </c>
      <c r="I25" s="49" t="s">
        <v>55</v>
      </c>
      <c r="J25" s="29" t="s">
        <v>56</v>
      </c>
      <c r="K25" s="29" t="s">
        <v>57</v>
      </c>
      <c r="L25" s="29" t="s">
        <v>58</v>
      </c>
      <c r="M25" s="63" t="s">
        <v>59</v>
      </c>
      <c r="N25" s="63" t="s">
        <v>60</v>
      </c>
      <c r="O25" s="29" t="s">
        <v>61</v>
      </c>
      <c r="P25" s="29" t="s">
        <v>62</v>
      </c>
      <c r="Q25" s="29" t="s">
        <v>63</v>
      </c>
      <c r="R25" s="29" t="s">
        <v>64</v>
      </c>
      <c r="S25" s="29" t="s">
        <v>65</v>
      </c>
      <c r="T25" s="29" t="s">
        <v>66</v>
      </c>
      <c r="U25" s="29" t="s">
        <v>67</v>
      </c>
      <c r="V25" s="29" t="s">
        <v>68</v>
      </c>
      <c r="W25" s="29" t="s">
        <v>8</v>
      </c>
      <c r="X25" s="29" t="s">
        <v>69</v>
      </c>
      <c r="Y25" s="208"/>
      <c r="Z25" s="208"/>
    </row>
    <row r="26" spans="1:26">
      <c r="A26" s="64" t="s">
        <v>70</v>
      </c>
      <c r="B26" s="65" t="s">
        <v>71</v>
      </c>
      <c r="C26" s="65"/>
      <c r="D26" s="64" t="s">
        <v>4</v>
      </c>
      <c r="E26" s="65"/>
      <c r="F26" s="64" t="s">
        <v>4</v>
      </c>
      <c r="G26" s="66" t="s">
        <v>4</v>
      </c>
      <c r="H26" s="67"/>
      <c r="I26" s="66" t="s">
        <v>4</v>
      </c>
      <c r="J26" s="64"/>
      <c r="K26" s="64" t="s">
        <v>4</v>
      </c>
      <c r="L26" s="64" t="s">
        <v>4</v>
      </c>
      <c r="M26" s="67" t="s">
        <v>4</v>
      </c>
      <c r="N26" s="67" t="s">
        <v>4</v>
      </c>
      <c r="O26" s="64" t="s">
        <v>4</v>
      </c>
      <c r="P26" s="64" t="s">
        <v>4</v>
      </c>
      <c r="Q26" s="68"/>
      <c r="R26" s="68" t="str">
        <f xml:space="preserve"> _xlfn.CONCAT(C_1_6[[#This Row],[ESCALATE]], "-",C_1_6[[#This Row],[Row_PM]])</f>
        <v> -</v>
      </c>
      <c r="S26" s="68" t="str">
        <f xml:space="preserve"> _xlfn.CONCAT(C_1_6[[#This Row],[ESCALATE]], "-",C_1_6[[#This Row],[Notify_PM]])</f>
        <v> - -</v>
      </c>
      <c r="T26" s="69">
        <f>ROW()</f>
        <v>26</v>
      </c>
      <c r="U26" s="70" t="str">
        <f>IF(C_1_6[[#This Row],[OWNER NAME 1]] = "", "",
   IF(_xlfn.XLOOKUP(C_1_6[[#This Row],[OWNER NAME 1]],OWNER_LIST[Owner Name], OWNER_LIST[Email], "") = "", "",
      _xlfn.XLOOKUP(C_1_6[[#This Row],[OWNER NAME 1]], OWNER_LIST[Owner Name], OWNER_LIST[Email], "")))</f>
        <v/>
      </c>
      <c r="V26" s="70" t="str">
        <f>IF(C_1_6[[#This Row],[OWNER NAME 2]] = "", "",
   IF(_xlfn.XLOOKUP(C_1_6[[#This Row],[OWNER NAME 2]],OWNER_LIST[Owner Name], OWNER_LIST[Email], "") = "", "",
      _xlfn.XLOOKUP(C_1_6[[#This Row],[OWNER NAME 2]], OWNER_LIST[Owner Name], OWNER_LIST[Email], "")))</f>
        <v/>
      </c>
      <c r="W26" s="69" t="str">
        <f t="shared" ref="W26:W30" si="0">$A$25</f>
        <v>C1</v>
      </c>
      <c r="X26" s="71" t="str">
        <f>IF(AND(NOT(ISBLANK(C_1_6[[#This Row],[ACTION - INFO]])),C_1_6[[#This Row],[ACTION - INFO]] &lt;&gt; "ACTION - INFO"),"Y","N")</f>
        <v>N</v>
      </c>
      <c r="Y26" s="208"/>
      <c r="Z26" s="208"/>
    </row>
    <row r="27" spans="1:26">
      <c r="A27" s="143"/>
      <c r="B27" s="158"/>
      <c r="C27" s="136"/>
      <c r="D27" s="136"/>
      <c r="E27" s="159"/>
      <c r="F27" s="143"/>
      <c r="G27" s="160"/>
      <c r="H27" s="142"/>
      <c r="I27" s="161" t="str" cm="1">
        <f t="array" ref="I27">IFERROR(_xlfn.TEXTJOIN(" / ", TRUE, IF(OWNER_LIST[Owner Name]=C_1_6[[#This Row],[OWNER NAME 1]], OWNER_LIST[Owner ORG], ""), IF(OWNER_LIST[Owner Name]=C_1_6[[#This Row],[OWNER NAME 2]], OWNER_LIST[Owner ORG], "")), "")</f>
        <v/>
      </c>
      <c r="J27" s="162"/>
      <c r="K27" s="162"/>
      <c r="L27" s="143"/>
      <c r="M27" s="163"/>
      <c r="N27" s="255"/>
      <c r="O27" s="72"/>
      <c r="P27" s="73"/>
      <c r="Q27" s="74"/>
      <c r="R27" s="75" t="str">
        <f xml:space="preserve"> _xlfn.CONCAT(C_1_6[[#This Row],[ESCALATE]], "-",C_1_6[[#This Row],[Row_PM]])</f>
        <v>-</v>
      </c>
      <c r="S27" s="75" t="str">
        <f xml:space="preserve"> _xlfn.CONCAT(C_1_6[[#This Row],[ESCALATE]], "-",C_1_6[[#This Row],[Notify_PM]])</f>
        <v>--</v>
      </c>
      <c r="T27" s="76">
        <f>ROW()</f>
        <v>27</v>
      </c>
      <c r="U27" s="77" t="str">
        <f>IF(C_1_6[[#This Row],[OWNER NAME 1]] = "", "",
   IF(_xlfn.XLOOKUP(C_1_6[[#This Row],[OWNER NAME 1]],OWNER_LIST[Owner Name], OWNER_LIST[Email], "") = "", "",
      _xlfn.XLOOKUP(C_1_6[[#This Row],[OWNER NAME 1]], OWNER_LIST[Owner Name], OWNER_LIST[Email], "")))</f>
        <v/>
      </c>
      <c r="V27" s="77" t="str">
        <f>IF(C_1_6[[#This Row],[OWNER NAME 2]] = "", "",
   IF(_xlfn.XLOOKUP(C_1_6[[#This Row],[OWNER NAME 2]],OWNER_LIST[Owner Name], OWNER_LIST[Email], "") = "", "",
      _xlfn.XLOOKUP(C_1_6[[#This Row],[OWNER NAME 2]], OWNER_LIST[Owner Name], OWNER_LIST[Email], "")))</f>
        <v/>
      </c>
      <c r="W27" s="76" t="str">
        <f t="shared" si="0"/>
        <v>C1</v>
      </c>
      <c r="X27" s="78" t="str">
        <f>IF(AND(NOT(ISBLANK(C_1_6[[#This Row],[ACTION - INFO]])),C_1_6[[#This Row],[ACTION - INFO]] &lt;&gt; "ACTION - INFO"),"Y","N")</f>
        <v>N</v>
      </c>
      <c r="Y27" s="208"/>
      <c r="Z27" s="208"/>
    </row>
    <row r="28" spans="1:26">
      <c r="A28" s="46"/>
      <c r="B28" s="46"/>
      <c r="C28" s="46"/>
      <c r="D28" s="46"/>
      <c r="E28" s="79"/>
      <c r="F28" s="46"/>
      <c r="G28" s="80"/>
      <c r="H28" s="81"/>
      <c r="I28" s="80" t="str" cm="1">
        <f t="array" ref="I28">IFERROR(_xlfn.TEXTJOIN(" / ", TRUE, IF(OWNER_LIST[Owner Name]=C_1_6[[#This Row],[OWNER NAME 1]], OWNER_LIST[Owner ORG], ""), IF(OWNER_LIST[Owner Name]=C_1_6[[#This Row],[OWNER NAME 2]], OWNER_LIST[Owner ORG], "")), "")</f>
        <v/>
      </c>
      <c r="J28" s="46"/>
      <c r="K28" s="46"/>
      <c r="L28" s="46"/>
      <c r="M28" s="82"/>
      <c r="N28" s="207"/>
      <c r="O28" s="208"/>
      <c r="P28" s="208"/>
      <c r="Q28" s="75"/>
      <c r="R28" s="75" t="str">
        <f xml:space="preserve"> _xlfn.CONCAT(C_1_6[[#This Row],[ESCALATE]], "-",C_1_6[[#This Row],[Row_PM]])</f>
        <v>-</v>
      </c>
      <c r="S28" s="75" t="str">
        <f xml:space="preserve"> _xlfn.CONCAT(C_1_6[[#This Row],[ESCALATE]], "-",C_1_6[[#This Row],[Notify_PM]])</f>
        <v>--</v>
      </c>
      <c r="T28" s="76">
        <f>ROW()</f>
        <v>28</v>
      </c>
      <c r="U28" s="77" t="str">
        <f>IF(C_1_6[[#This Row],[OWNER NAME 1]] = "", "",
   IF(_xlfn.XLOOKUP(C_1_6[[#This Row],[OWNER NAME 1]],OWNER_LIST[Owner Name], OWNER_LIST[Email], "") = "", "",
      _xlfn.XLOOKUP(C_1_6[[#This Row],[OWNER NAME 1]], OWNER_LIST[Owner Name], OWNER_LIST[Email], "")))</f>
        <v/>
      </c>
      <c r="V28" s="77" t="str">
        <f>IF(C_1_6[[#This Row],[OWNER NAME 2]] = "", "",
   IF(_xlfn.XLOOKUP(C_1_6[[#This Row],[OWNER NAME 2]],OWNER_LIST[Owner Name], OWNER_LIST[Email], "") = "", "",
      _xlfn.XLOOKUP(C_1_6[[#This Row],[OWNER NAME 2]], OWNER_LIST[Owner Name], OWNER_LIST[Email], "")))</f>
        <v/>
      </c>
      <c r="W28" s="76" t="str">
        <f t="shared" si="0"/>
        <v>C1</v>
      </c>
      <c r="X28" s="78" t="str">
        <f>IF(AND(NOT(ISBLANK(C_1_6[[#This Row],[ACTION - INFO]])),C_1_6[[#This Row],[ACTION - INFO]] &lt;&gt; "ACTION - INFO"),"Y","N")</f>
        <v>N</v>
      </c>
      <c r="Y28" s="208"/>
      <c r="Z28" s="208"/>
    </row>
    <row r="29" spans="1:26">
      <c r="A29" s="64" t="s">
        <v>78</v>
      </c>
      <c r="B29" s="65" t="s">
        <v>6</v>
      </c>
      <c r="C29" s="65"/>
      <c r="D29" s="64" t="s">
        <v>4</v>
      </c>
      <c r="E29" s="65"/>
      <c r="F29" s="64" t="s">
        <v>4</v>
      </c>
      <c r="G29" s="66" t="s">
        <v>4</v>
      </c>
      <c r="H29" s="67"/>
      <c r="I29" s="66" t="s">
        <v>4</v>
      </c>
      <c r="J29" s="64"/>
      <c r="K29" s="64" t="s">
        <v>4</v>
      </c>
      <c r="L29" s="64" t="s">
        <v>4</v>
      </c>
      <c r="M29" s="67" t="s">
        <v>4</v>
      </c>
      <c r="N29" s="67" t="s">
        <v>4</v>
      </c>
      <c r="O29" s="64" t="s">
        <v>4</v>
      </c>
      <c r="P29" s="64" t="s">
        <v>4</v>
      </c>
      <c r="Q29" s="68"/>
      <c r="R29" s="68" t="str">
        <f xml:space="preserve"> _xlfn.CONCAT(C_1_6[[#This Row],[ESCALATE]], "-",C_1_6[[#This Row],[Row_PM]])</f>
        <v> -</v>
      </c>
      <c r="S29" s="68" t="str">
        <f xml:space="preserve"> _xlfn.CONCAT(C_1_6[[#This Row],[ESCALATE]], "-",C_1_6[[#This Row],[Notify_PM]])</f>
        <v> - -</v>
      </c>
      <c r="T29" s="69">
        <f>ROW()</f>
        <v>29</v>
      </c>
      <c r="U29" s="70" t="str">
        <f>IF(C_1_6[[#This Row],[OWNER NAME 1]] = "", "",
   IF(_xlfn.XLOOKUP(C_1_6[[#This Row],[OWNER NAME 1]],OWNER_LIST[Owner Name], OWNER_LIST[Email], "") = "", "",
      _xlfn.XLOOKUP(C_1_6[[#This Row],[OWNER NAME 1]], OWNER_LIST[Owner Name], OWNER_LIST[Email], "")))</f>
        <v/>
      </c>
      <c r="V29" s="70" t="str">
        <f>IF(C_1_6[[#This Row],[OWNER NAME 2]] = "", "",
   IF(_xlfn.XLOOKUP(C_1_6[[#This Row],[OWNER NAME 2]],OWNER_LIST[Owner Name], OWNER_LIST[Email], "") = "", "",
      _xlfn.XLOOKUP(C_1_6[[#This Row],[OWNER NAME 2]], OWNER_LIST[Owner Name], OWNER_LIST[Email], "")))</f>
        <v/>
      </c>
      <c r="W29" s="69" t="str">
        <f t="shared" si="0"/>
        <v>C1</v>
      </c>
      <c r="X29" s="71" t="str">
        <f>IF(AND(NOT(ISBLANK(C_1_6[[#This Row],[ACTION - INFO]])),C_1_6[[#This Row],[ACTION - INFO]] &lt;&gt; "ACTION - INFO"),"Y","N")</f>
        <v>N</v>
      </c>
      <c r="Y29" s="208"/>
      <c r="Z29" s="208"/>
    </row>
    <row r="30" spans="1:26" ht="28.9">
      <c r="A30" s="129"/>
      <c r="B30" s="84" t="s">
        <v>673</v>
      </c>
      <c r="C30" s="136" t="s">
        <v>95</v>
      </c>
      <c r="D30" s="136" t="s">
        <v>82</v>
      </c>
      <c r="E30" s="165" t="s">
        <v>674</v>
      </c>
      <c r="F30" s="209"/>
      <c r="G30" s="130" t="s">
        <v>93</v>
      </c>
      <c r="H30" s="131">
        <v>45887</v>
      </c>
      <c r="I30" s="132" t="str" cm="1">
        <f t="array" ref="I30">IFERROR(_xlfn.TEXTJOIN(" / ", TRUE, IF(OWNER_LIST[Owner Name]=C_1_6[[#This Row],[OWNER NAME 1]], OWNER_LIST[Owner ORG], ""), IF(OWNER_LIST[Owner Name]=C_1_6[[#This Row],[OWNER NAME 2]], OWNER_LIST[Owner ORG], "")), "")</f>
        <v/>
      </c>
      <c r="J30" s="129"/>
      <c r="K30" s="129"/>
      <c r="L30" s="129"/>
      <c r="M30" s="133"/>
      <c r="N30" s="207"/>
      <c r="O30" s="127"/>
      <c r="P30" s="127"/>
      <c r="Q30" s="75"/>
      <c r="R30" s="75" t="str">
        <f xml:space="preserve"> _xlfn.CONCAT(C_1_6[[#This Row],[ESCALATE]], "-",C_1_6[[#This Row],[Row_PM]])</f>
        <v>-</v>
      </c>
      <c r="S30" s="75" t="str">
        <f xml:space="preserve"> _xlfn.CONCAT(C_1_6[[#This Row],[ESCALATE]], "-",C_1_6[[#This Row],[Notify_PM]])</f>
        <v>--</v>
      </c>
      <c r="T30" s="88">
        <f>ROW()</f>
        <v>30</v>
      </c>
      <c r="U30" s="77" t="str">
        <f>IF(C_1_6[[#This Row],[OWNER NAME 1]] = "", "",
   IF(_xlfn.XLOOKUP(C_1_6[[#This Row],[OWNER NAME 1]],OWNER_LIST[Owner Name], OWNER_LIST[Email], "") = "", "",
      _xlfn.XLOOKUP(C_1_6[[#This Row],[OWNER NAME 1]], OWNER_LIST[Owner Name], OWNER_LIST[Email], "")))</f>
        <v/>
      </c>
      <c r="V30" s="77" t="str">
        <f>IF(C_1_6[[#This Row],[OWNER NAME 2]] = "", "",
   IF(_xlfn.XLOOKUP(C_1_6[[#This Row],[OWNER NAME 2]],OWNER_LIST[Owner Name], OWNER_LIST[Email], "") = "", "",
      _xlfn.XLOOKUP(C_1_6[[#This Row],[OWNER NAME 2]], OWNER_LIST[Owner Name], OWNER_LIST[Email], "")))</f>
        <v/>
      </c>
      <c r="W30" s="88" t="str">
        <f t="shared" si="0"/>
        <v>C1</v>
      </c>
      <c r="X30" s="89" t="str">
        <f>IF(AND(NOT(ISBLANK(C_1_6[[#This Row],[ACTION - INFO]])),C_1_6[[#This Row],[ACTION - INFO]] &lt;&gt; "ACTION - INFO"),"Y","N")</f>
        <v>Y</v>
      </c>
      <c r="Y30" s="208"/>
      <c r="Z30" s="208"/>
    </row>
    <row r="31" spans="1:26">
      <c r="A31" s="129"/>
      <c r="B31" s="84" t="s">
        <v>675</v>
      </c>
      <c r="C31" s="136" t="s">
        <v>95</v>
      </c>
      <c r="D31" s="136" t="s">
        <v>82</v>
      </c>
      <c r="E31" s="165" t="s">
        <v>676</v>
      </c>
      <c r="F31" s="209"/>
      <c r="G31" s="130" t="s">
        <v>93</v>
      </c>
      <c r="H31" s="142"/>
      <c r="I31" s="132" t="str" cm="1">
        <f t="array" ref="I31">IFERROR(_xlfn.TEXTJOIN(" / ", TRUE, IF(OWNER_LIST[Owner Name]=C_1_6[[#This Row],[OWNER NAME 1]], OWNER_LIST[Owner ORG], ""), IF(OWNER_LIST[Owner Name]=C_1_6[[#This Row],[OWNER NAME 2]], OWNER_LIST[Owner ORG], "")), "")</f>
        <v/>
      </c>
      <c r="J31" s="83"/>
      <c r="K31" s="83"/>
      <c r="L31" s="83"/>
      <c r="M31" s="134"/>
      <c r="N31" s="207"/>
      <c r="O31" s="208"/>
      <c r="P31" s="127"/>
      <c r="Q31" s="75"/>
      <c r="R31" s="75" t="str">
        <f xml:space="preserve"> _xlfn.CONCAT(C_1_6[[#This Row],[ESCALATE]], "-",C_1_6[[#This Row],[Row_PM]])</f>
        <v>-</v>
      </c>
      <c r="S31" s="75" t="str">
        <f xml:space="preserve"> _xlfn.CONCAT(C_1_6[[#This Row],[ESCALATE]], "-",C_1_6[[#This Row],[Notify_PM]])</f>
        <v>--</v>
      </c>
      <c r="T31" s="88">
        <f>ROW()</f>
        <v>31</v>
      </c>
      <c r="U31" s="77" t="str">
        <f>IF(C_1_6[[#This Row],[OWNER NAME 1]] = "", "",
   IF(_xlfn.XLOOKUP(C_1_6[[#This Row],[OWNER NAME 1]],OWNER_LIST[Owner Name], OWNER_LIST[Email], "") = "", "",
      _xlfn.XLOOKUP(C_1_6[[#This Row],[OWNER NAME 1]], OWNER_LIST[Owner Name], OWNER_LIST[Email], "")))</f>
        <v/>
      </c>
      <c r="V31" s="77" t="str">
        <f>IF(C_1_6[[#This Row],[OWNER NAME 2]] = "", "",
   IF(_xlfn.XLOOKUP(C_1_6[[#This Row],[OWNER NAME 2]],OWNER_LIST[Owner Name], OWNER_LIST[Email], "") = "", "",
      _xlfn.XLOOKUP(C_1_6[[#This Row],[OWNER NAME 2]], OWNER_LIST[Owner Name], OWNER_LIST[Email], "")))</f>
        <v/>
      </c>
      <c r="W31" s="88" t="str">
        <f>$A$25</f>
        <v>C1</v>
      </c>
      <c r="X31" s="89" t="str">
        <f>IF(AND(NOT(ISBLANK(C_1_6[[#This Row],[ACTION - INFO]])),C_1_6[[#This Row],[ACTION - INFO]] &lt;&gt; "ACTION - INFO"),"Y","N")</f>
        <v>Y</v>
      </c>
      <c r="Y31" s="208"/>
      <c r="Z31" s="208"/>
    </row>
    <row r="32" spans="1:26">
      <c r="A32" s="129"/>
      <c r="B32" s="84" t="s">
        <v>677</v>
      </c>
      <c r="C32" s="129"/>
      <c r="D32" s="144"/>
      <c r="E32" s="145" t="s">
        <v>678</v>
      </c>
      <c r="F32" s="129"/>
      <c r="G32" s="149" t="s">
        <v>93</v>
      </c>
      <c r="H32" s="142">
        <v>45853</v>
      </c>
      <c r="I32" s="132" t="str" cm="1">
        <f t="array" ref="I32">IFERROR(_xlfn.TEXTJOIN(" / ", TRUE, IF(OWNER_LIST[Owner Name]=C_1_6[[#This Row],[OWNER NAME 1]], OWNER_LIST[Owner ORG], ""), IF(OWNER_LIST[Owner Name]=C_1_6[[#This Row],[OWNER NAME 2]], OWNER_LIST[Owner ORG], "")), "")</f>
        <v>RPN / RPN</v>
      </c>
      <c r="J32" s="143" t="s">
        <v>25</v>
      </c>
      <c r="K32" s="143" t="s">
        <v>30</v>
      </c>
      <c r="L32" s="83"/>
      <c r="M32" s="134"/>
      <c r="N32" s="207"/>
      <c r="O32" s="208"/>
      <c r="P32" s="127"/>
      <c r="Q32" s="75"/>
      <c r="R32" s="75" t="str">
        <f xml:space="preserve"> _xlfn.CONCAT(C_1_6[[#This Row],[ESCALATE]], "-",C_1_6[[#This Row],[Row_PM]])</f>
        <v>-</v>
      </c>
      <c r="S32" s="75" t="str">
        <f xml:space="preserve"> _xlfn.CONCAT(C_1_6[[#This Row],[ESCALATE]], "-",C_1_6[[#This Row],[Notify_PM]])</f>
        <v>--</v>
      </c>
      <c r="T32" s="88">
        <f>ROW()</f>
        <v>32</v>
      </c>
      <c r="U32" s="77" t="str">
        <f>IF(C_1_6[[#This Row],[OWNER NAME 1]] = "", "",
   IF(_xlfn.XLOOKUP(C_1_6[[#This Row],[OWNER NAME 1]],OWNER_LIST[Owner Name], OWNER_LIST[Email], "") = "", "",
      _xlfn.XLOOKUP(C_1_6[[#This Row],[OWNER NAME 1]], OWNER_LIST[Owner Name], OWNER_LIST[Email], "")))</f>
        <v>matteo.naldi@cmbcarpi.it</v>
      </c>
      <c r="V32" s="77" t="str">
        <f>IF(C_1_6[[#This Row],[OWNER NAME 2]] = "", "",
   IF(_xlfn.XLOOKUP(C_1_6[[#This Row],[OWNER NAME 2]],OWNER_LIST[Owner Name], OWNER_LIST[Email], "") = "", "",
      _xlfn.XLOOKUP(C_1_6[[#This Row],[OWNER NAME 2]], OWNER_LIST[Owner Name], OWNER_LIST[Email], "")))</f>
        <v>simone.conti@cmbcarpi.it</v>
      </c>
      <c r="W32" s="88" t="str">
        <f>$A$25</f>
        <v>C1</v>
      </c>
      <c r="X32" s="89" t="str">
        <f>IF(AND(NOT(ISBLANK(C_1_6[[#This Row],[ACTION - INFO]])),C_1_6[[#This Row],[ACTION - INFO]] &lt;&gt; "ACTION - INFO"),"Y","N")</f>
        <v>N</v>
      </c>
      <c r="Y32" s="208"/>
      <c r="Z32" s="208"/>
    </row>
    <row r="33" spans="1:26">
      <c r="A33" s="129"/>
      <c r="B33" s="87" t="s">
        <v>679</v>
      </c>
      <c r="C33" s="129"/>
      <c r="D33" s="144"/>
      <c r="E33" s="129" t="s">
        <v>680</v>
      </c>
      <c r="F33" s="145"/>
      <c r="G33" s="146" t="s">
        <v>93</v>
      </c>
      <c r="H33" s="142">
        <v>45811</v>
      </c>
      <c r="I33" s="132" t="str" cm="1">
        <f t="array" ref="I33">IFERROR(_xlfn.TEXTJOIN(" / ", TRUE, IF(OWNER_LIST[Owner Name]=C_1_6[[#This Row],[OWNER NAME 1]], OWNER_LIST[Owner ORG], ""), IF(OWNER_LIST[Owner Name]=C_1_6[[#This Row],[OWNER NAME 2]], OWNER_LIST[Owner ORG], "")), "")</f>
        <v>RPN / SHP</v>
      </c>
      <c r="J33" s="136" t="s">
        <v>98</v>
      </c>
      <c r="K33" s="136" t="s">
        <v>46</v>
      </c>
      <c r="L33" s="83"/>
      <c r="M33" s="134"/>
      <c r="N33" s="207"/>
      <c r="O33" s="208"/>
      <c r="P33" s="127"/>
      <c r="Q33" s="75"/>
      <c r="R33" s="75" t="str">
        <f xml:space="preserve"> _xlfn.CONCAT(C_1_6[[#This Row],[ESCALATE]], "-",C_1_6[[#This Row],[Row_PM]])</f>
        <v>-</v>
      </c>
      <c r="S33" s="75" t="str">
        <f xml:space="preserve"> _xlfn.CONCAT(C_1_6[[#This Row],[ESCALATE]], "-",C_1_6[[#This Row],[Notify_PM]])</f>
        <v>--</v>
      </c>
      <c r="T33" s="88">
        <f>ROW()</f>
        <v>33</v>
      </c>
      <c r="U33" s="77" t="str">
        <f>IF(C_1_6[[#This Row],[OWNER NAME 1]] = "", "",
   IF(_xlfn.XLOOKUP(C_1_6[[#This Row],[OWNER NAME 1]],OWNER_LIST[Owner Name], OWNER_LIST[Email], "") = "", "",
      _xlfn.XLOOKUP(C_1_6[[#This Row],[OWNER NAME 1]], OWNER_LIST[Owner Name], OWNER_LIST[Email], "")))</f>
        <v>davide.cirillo@cmbcarpi.it</v>
      </c>
      <c r="V33" s="77" t="str">
        <f>IF(C_1_6[[#This Row],[OWNER NAME 2]] = "", "",
   IF(_xlfn.XLOOKUP(C_1_6[[#This Row],[OWNER NAME 2]],OWNER_LIST[Owner Name], OWNER_LIST[Email], "") = "", "",
      _xlfn.XLOOKUP(C_1_6[[#This Row],[OWNER NAME 2]], OWNER_LIST[Owner Name], OWNER_LIST[Email], "")))</f>
        <v>didier.dequatre@un.org</v>
      </c>
      <c r="W33" s="88" t="str">
        <f>$A$25</f>
        <v>C1</v>
      </c>
      <c r="X33" s="89" t="str">
        <f>IF(AND(NOT(ISBLANK(C_1_6[[#This Row],[ACTION - INFO]])),C_1_6[[#This Row],[ACTION - INFO]] &lt;&gt; "ACTION - INFO"),"Y","N")</f>
        <v>N</v>
      </c>
      <c r="Y33" s="208"/>
      <c r="Z33" s="208"/>
    </row>
    <row r="34" spans="1:26">
      <c r="A34" s="129"/>
      <c r="B34" s="87"/>
      <c r="C34" s="129"/>
      <c r="D34" s="144"/>
      <c r="E34" s="148"/>
      <c r="F34" s="151"/>
      <c r="G34" s="146" t="s">
        <v>85</v>
      </c>
      <c r="H34" s="135">
        <v>45855</v>
      </c>
      <c r="I34" s="132" t="str" cm="1">
        <f t="array" ref="I34">IFERROR(_xlfn.TEXTJOIN(" / ", TRUE, IF(OWNER_LIST[Owner Name]=C_1_6[[#This Row],[OWNER NAME 1]], OWNER_LIST[Owner ORG], ""), IF(OWNER_LIST[Owner Name]=C_1_6[[#This Row],[OWNER NAME 2]], OWNER_LIST[Owner ORG], "")), "")</f>
        <v>RPN</v>
      </c>
      <c r="J34" s="129" t="s">
        <v>27</v>
      </c>
      <c r="K34" s="129"/>
      <c r="L34" s="129"/>
      <c r="M34" s="134"/>
      <c r="N34" s="207"/>
      <c r="O34" s="208"/>
      <c r="P34" s="127"/>
      <c r="Q34" s="75"/>
      <c r="R34" s="75" t="str">
        <f xml:space="preserve"> _xlfn.CONCAT(C_1_6[[#This Row],[ESCALATE]], "-",C_1_6[[#This Row],[Row_PM]])</f>
        <v>-</v>
      </c>
      <c r="S34" s="75" t="str">
        <f xml:space="preserve"> _xlfn.CONCAT(C_1_6[[#This Row],[ESCALATE]], "-",C_1_6[[#This Row],[Notify_PM]])</f>
        <v>--</v>
      </c>
      <c r="T34" s="88">
        <f>ROW()</f>
        <v>34</v>
      </c>
      <c r="U34" s="77" t="str">
        <f>IF(C_1_6[[#This Row],[OWNER NAME 1]] = "", "",
   IF(_xlfn.XLOOKUP(C_1_6[[#This Row],[OWNER NAME 1]],OWNER_LIST[Owner Name], OWNER_LIST[Email], "") = "", "",
      _xlfn.XLOOKUP(C_1_6[[#This Row],[OWNER NAME 1]], OWNER_LIST[Owner Name], OWNER_LIST[Email], "")))</f>
        <v>jessica.donatelli@cmbcarpi.it</v>
      </c>
      <c r="V34" s="77" t="str">
        <f>IF(C_1_6[[#This Row],[OWNER NAME 2]] = "", "",
   IF(_xlfn.XLOOKUP(C_1_6[[#This Row],[OWNER NAME 2]],OWNER_LIST[Owner Name], OWNER_LIST[Email], "") = "", "",
      _xlfn.XLOOKUP(C_1_6[[#This Row],[OWNER NAME 2]], OWNER_LIST[Owner Name], OWNER_LIST[Email], "")))</f>
        <v/>
      </c>
      <c r="W34" s="88" t="str">
        <f t="shared" ref="W34" si="1">$A$25</f>
        <v>C1</v>
      </c>
      <c r="X34" s="89" t="str">
        <f>IF(AND(NOT(ISBLANK(C_1_6[[#This Row],[ACTION - INFO]])),C_1_6[[#This Row],[ACTION - INFO]] &lt;&gt; "ACTION - INFO"),"Y","N")</f>
        <v>N</v>
      </c>
      <c r="Y34" s="208"/>
      <c r="Z34" s="208"/>
    </row>
    <row r="35" spans="1:26">
      <c r="A35" s="129"/>
      <c r="B35" s="87"/>
      <c r="C35" s="129"/>
      <c r="D35" s="144"/>
      <c r="E35" s="148"/>
      <c r="F35" s="147"/>
      <c r="G35" s="146" t="s">
        <v>85</v>
      </c>
      <c r="H35" s="142"/>
      <c r="I35" s="132" t="str" cm="1">
        <f t="array" ref="I35">IFERROR(_xlfn.TEXTJOIN(" / ", TRUE, IF(OWNER_LIST[Owner Name]=C_1_6[[#This Row],[OWNER NAME 1]], OWNER_LIST[Owner ORG], ""), IF(OWNER_LIST[Owner Name]=C_1_6[[#This Row],[OWNER NAME 2]], OWNER_LIST[Owner ORG], "")), "")</f>
        <v>RPN</v>
      </c>
      <c r="J35" s="143" t="s">
        <v>25</v>
      </c>
      <c r="K35" s="143"/>
      <c r="L35" s="143"/>
      <c r="M35" s="137"/>
      <c r="N35" s="207"/>
      <c r="O35" s="208"/>
      <c r="P35" s="127"/>
      <c r="Q35" s="75"/>
      <c r="R35" s="75" t="str">
        <f xml:space="preserve"> _xlfn.CONCAT(C_1_6[[#This Row],[ESCALATE]], "-",C_1_6[[#This Row],[Row_PM]])</f>
        <v>-</v>
      </c>
      <c r="S35" s="75" t="str">
        <f xml:space="preserve"> _xlfn.CONCAT(C_1_6[[#This Row],[ESCALATE]], "-",C_1_6[[#This Row],[Notify_PM]])</f>
        <v>--</v>
      </c>
      <c r="T35" s="88">
        <f>ROW()</f>
        <v>35</v>
      </c>
      <c r="U35" s="77" t="str">
        <f>IF(C_1_6[[#This Row],[OWNER NAME 1]] = "", "",
   IF(_xlfn.XLOOKUP(C_1_6[[#This Row],[OWNER NAME 1]],OWNER_LIST[Owner Name], OWNER_LIST[Email], "") = "", "",
      _xlfn.XLOOKUP(C_1_6[[#This Row],[OWNER NAME 1]], OWNER_LIST[Owner Name], OWNER_LIST[Email], "")))</f>
        <v>matteo.naldi@cmbcarpi.it</v>
      </c>
      <c r="V35" s="77" t="str">
        <f>IF(C_1_6[[#This Row],[OWNER NAME 2]] = "", "",
   IF(_xlfn.XLOOKUP(C_1_6[[#This Row],[OWNER NAME 2]],OWNER_LIST[Owner Name], OWNER_LIST[Email], "") = "", "",
      _xlfn.XLOOKUP(C_1_6[[#This Row],[OWNER NAME 2]], OWNER_LIST[Owner Name], OWNER_LIST[Email], "")))</f>
        <v/>
      </c>
      <c r="W35" s="88" t="str">
        <f>$A$25</f>
        <v>C1</v>
      </c>
      <c r="X35" s="89" t="str">
        <f>IF(AND(NOT(ISBLANK(C_1_6[[#This Row],[ACTION - INFO]])),C_1_6[[#This Row],[ACTION - INFO]] &lt;&gt; "ACTION - INFO"),"Y","N")</f>
        <v>N</v>
      </c>
      <c r="Y35" s="208"/>
      <c r="Z35" s="208"/>
    </row>
    <row r="36" spans="1:26">
      <c r="A36" s="24"/>
      <c r="B36" s="256"/>
      <c r="C36" s="256"/>
      <c r="D36" s="24"/>
      <c r="E36" s="138"/>
      <c r="F36" s="138"/>
      <c r="G36" s="80"/>
      <c r="H36" s="81"/>
      <c r="I36" s="80"/>
      <c r="J36" s="46"/>
      <c r="K36" s="46"/>
      <c r="L36" s="46"/>
      <c r="M36" s="141"/>
      <c r="N36" s="207"/>
      <c r="O36" s="208"/>
      <c r="P36" s="208"/>
      <c r="Q36" s="75"/>
      <c r="R36" s="75" t="str">
        <f xml:space="preserve"> _xlfn.CONCAT(C_1_6[[#This Row],[ESCALATE]], "-",C_1_6[[#This Row],[Row_PM]])</f>
        <v>-</v>
      </c>
      <c r="S36" s="75" t="str">
        <f xml:space="preserve"> _xlfn.CONCAT(C_1_6[[#This Row],[ESCALATE]], "-",C_1_6[[#This Row],[Notify_PM]])</f>
        <v>--</v>
      </c>
      <c r="T36" s="88">
        <f>ROW()</f>
        <v>36</v>
      </c>
      <c r="U36" s="77" t="str">
        <f>IF(C_1_6[[#This Row],[OWNER NAME 1]] = "", "",
   IF(_xlfn.XLOOKUP(C_1_6[[#This Row],[OWNER NAME 1]],OWNER_LIST[Owner Name], OWNER_LIST[Email], "") = "", "",
      _xlfn.XLOOKUP(C_1_6[[#This Row],[OWNER NAME 1]], OWNER_LIST[Owner Name], OWNER_LIST[Email], "")))</f>
        <v/>
      </c>
      <c r="V36" s="77" t="str">
        <f>IF(C_1_6[[#This Row],[OWNER NAME 2]] = "", "",
   IF(_xlfn.XLOOKUP(C_1_6[[#This Row],[OWNER NAME 2]],OWNER_LIST[Owner Name], OWNER_LIST[Email], "") = "", "",
      _xlfn.XLOOKUP(C_1_6[[#This Row],[OWNER NAME 2]], OWNER_LIST[Owner Name], OWNER_LIST[Email], "")))</f>
        <v/>
      </c>
      <c r="W36" s="88" t="str">
        <f>$A$25</f>
        <v>C1</v>
      </c>
      <c r="X36" s="89" t="str">
        <f>IF(AND(NOT(ISBLANK(C_1_6[[#This Row],[ACTION - INFO]])),C_1_6[[#This Row],[ACTION - INFO]] &lt;&gt; "ACTION - INFO"),"Y","N")</f>
        <v>N</v>
      </c>
      <c r="Y36" s="208"/>
      <c r="Z36" s="208"/>
    </row>
    <row r="37" spans="1:26">
      <c r="A37" s="24"/>
      <c r="B37" s="256"/>
      <c r="C37" s="256"/>
      <c r="D37" s="256"/>
      <c r="E37" s="256"/>
      <c r="F37" s="256"/>
      <c r="G37" s="139"/>
      <c r="H37" s="140"/>
      <c r="I37" s="140"/>
      <c r="J37" s="24"/>
      <c r="K37" s="24"/>
      <c r="L37" s="24"/>
      <c r="M37" s="141"/>
      <c r="N37" s="207"/>
      <c r="O37" s="208"/>
      <c r="P37" s="208"/>
      <c r="Q37" s="75"/>
      <c r="R37" s="75" t="str">
        <f xml:space="preserve"> _xlfn.CONCAT(C_1_6[[#This Row],[ESCALATE]], "-",C_1_6[[#This Row],[Row_PM]])</f>
        <v>-</v>
      </c>
      <c r="S37" s="75" t="str">
        <f xml:space="preserve"> _xlfn.CONCAT(C_1_6[[#This Row],[ESCALATE]], "-",C_1_6[[#This Row],[Notify_PM]])</f>
        <v>--</v>
      </c>
      <c r="T37" s="88">
        <f>ROW()</f>
        <v>37</v>
      </c>
      <c r="U37" s="77" t="str">
        <f>IF(C_1_6[[#This Row],[OWNER NAME 1]] = "", "",
   IF(_xlfn.XLOOKUP(C_1_6[[#This Row],[OWNER NAME 1]],OWNER_LIST[Owner Name], OWNER_LIST[Email], "") = "", "",
      _xlfn.XLOOKUP(C_1_6[[#This Row],[OWNER NAME 1]], OWNER_LIST[Owner Name], OWNER_LIST[Email], "")))</f>
        <v/>
      </c>
      <c r="V37" s="77" t="str">
        <f>IF(C_1_6[[#This Row],[OWNER NAME 2]] = "", "",
   IF(_xlfn.XLOOKUP(C_1_6[[#This Row],[OWNER NAME 2]],OWNER_LIST[Owner Name], OWNER_LIST[Email], "") = "", "",
      _xlfn.XLOOKUP(C_1_6[[#This Row],[OWNER NAME 2]], OWNER_LIST[Owner Name], OWNER_LIST[Email], "")))</f>
        <v/>
      </c>
      <c r="W37" s="88" t="str">
        <f>$A$25</f>
        <v>C1</v>
      </c>
      <c r="X37" s="89" t="str">
        <f>IF(AND(NOT(ISBLANK(C_1_6[[#This Row],[ACTION - INFO]])),C_1_6[[#This Row],[ACTION - INFO]] &lt;&gt; "ACTION - INFO"),"Y","N")</f>
        <v>N</v>
      </c>
      <c r="Y37" s="208"/>
      <c r="Z37" s="208"/>
    </row>
    <row r="38" spans="1:26">
      <c r="A38" s="64" t="s">
        <v>333</v>
      </c>
      <c r="B38" s="65" t="s">
        <v>681</v>
      </c>
      <c r="C38" s="65"/>
      <c r="D38" s="64" t="s">
        <v>4</v>
      </c>
      <c r="E38" s="65"/>
      <c r="F38" s="64" t="s">
        <v>4</v>
      </c>
      <c r="G38" s="66" t="s">
        <v>4</v>
      </c>
      <c r="H38" s="67"/>
      <c r="I38" s="66" t="str" cm="1">
        <f t="array" ref="I38">IFERROR(_xlfn.TEXTJOIN(" / ", TRUE, IF(OWNER_LIST[Owner Name]=C_1_6[[#This Row],[OWNER NAME 1]], OWNER_LIST[Owner ORG], ""), IF(OWNER_LIST[Owner Name]=C_1_6[[#This Row],[OWNER NAME 2]], OWNER_LIST[Owner ORG], "")), "")</f>
        <v/>
      </c>
      <c r="J38" s="64"/>
      <c r="K38" s="64" t="s">
        <v>4</v>
      </c>
      <c r="L38" s="64" t="s">
        <v>4</v>
      </c>
      <c r="M38" s="67" t="s">
        <v>4</v>
      </c>
      <c r="N38" s="67" t="s">
        <v>4</v>
      </c>
      <c r="O38" s="64" t="s">
        <v>4</v>
      </c>
      <c r="P38" s="64" t="s">
        <v>4</v>
      </c>
      <c r="Q38" s="68"/>
      <c r="R38" s="68" t="str">
        <f xml:space="preserve"> _xlfn.CONCAT(C_1_6[[#This Row],[ESCALATE]], "-",C_1_6[[#This Row],[Row_PM]])</f>
        <v> -</v>
      </c>
      <c r="S38" s="68" t="str">
        <f xml:space="preserve"> _xlfn.CONCAT(C_1_6[[#This Row],[ESCALATE]], "-",C_1_6[[#This Row],[Notify_PM]])</f>
        <v> - -</v>
      </c>
      <c r="T38" s="69">
        <f>ROW()</f>
        <v>38</v>
      </c>
      <c r="U38" s="70" t="str">
        <f>IF(C_1_6[[#This Row],[OWNER NAME 1]] = "", "",
   IF(_xlfn.XLOOKUP(C_1_6[[#This Row],[OWNER NAME 1]],OWNER_LIST[Owner Name], OWNER_LIST[Email], "") = "", "",
      _xlfn.XLOOKUP(C_1_6[[#This Row],[OWNER NAME 1]], OWNER_LIST[Owner Name], OWNER_LIST[Email], "")))</f>
        <v/>
      </c>
      <c r="V38" s="70" t="str">
        <f>IF(C_1_6[[#This Row],[OWNER NAME 2]] = "", "",
   IF(_xlfn.XLOOKUP(C_1_6[[#This Row],[OWNER NAME 2]],OWNER_LIST[Owner Name], OWNER_LIST[Email], "") = "", "",
      _xlfn.XLOOKUP(C_1_6[[#This Row],[OWNER NAME 2]], OWNER_LIST[Owner Name], OWNER_LIST[Email], "")))</f>
        <v/>
      </c>
      <c r="W38" s="69" t="str">
        <f>$A$25</f>
        <v>C1</v>
      </c>
      <c r="X38" s="71" t="str">
        <f>IF(AND(NOT(ISBLANK(C_1_6[[#This Row],[ACTION - INFO]])),C_1_6[[#This Row],[ACTION - INFO]] &lt;&gt; "ACTION - INFO"),"Y","N")</f>
        <v>N</v>
      </c>
      <c r="Y38" s="208"/>
      <c r="Z38" s="208"/>
    </row>
    <row r="39" spans="1:26">
      <c r="A39" s="129"/>
      <c r="B39" s="212"/>
      <c r="C39" s="129"/>
      <c r="D39" s="136"/>
      <c r="E39" s="145"/>
      <c r="F39" s="212"/>
      <c r="G39" s="154"/>
      <c r="H39" s="93"/>
      <c r="I39" s="132"/>
      <c r="J39" s="83"/>
      <c r="K39" s="83"/>
      <c r="L39" s="83"/>
      <c r="M39" s="133"/>
      <c r="N39" s="207"/>
      <c r="O39" s="208"/>
      <c r="P39" s="208"/>
      <c r="Q39" s="75"/>
      <c r="R39" s="75"/>
      <c r="S39" s="75"/>
      <c r="T39" s="88"/>
      <c r="U39" s="77"/>
      <c r="V39" s="77"/>
      <c r="W39" s="88"/>
      <c r="X39" s="89"/>
      <c r="Y39" s="208"/>
      <c r="Z39" s="208"/>
    </row>
    <row r="40" spans="1:26">
      <c r="A40" s="129"/>
      <c r="B40" s="87"/>
      <c r="C40" s="129"/>
      <c r="D40" s="136"/>
      <c r="E40" s="165"/>
      <c r="F40" s="165"/>
      <c r="G40" s="164"/>
      <c r="H40" s="142"/>
      <c r="I40" s="132"/>
      <c r="J40" s="83"/>
      <c r="K40" s="83"/>
      <c r="L40" s="83"/>
      <c r="M40" s="134"/>
      <c r="N40" s="207"/>
      <c r="O40" s="208"/>
      <c r="P40" s="127"/>
      <c r="Q40" s="75"/>
      <c r="R40" s="75"/>
      <c r="S40" s="75"/>
      <c r="T40" s="88"/>
      <c r="U40" s="77"/>
      <c r="V40" s="77"/>
      <c r="W40" s="88"/>
      <c r="X40" s="89"/>
      <c r="Y40" s="208"/>
      <c r="Z40" s="208"/>
    </row>
    <row r="41" spans="1:26">
      <c r="A41" s="129"/>
      <c r="B41" s="212"/>
      <c r="C41" s="129"/>
      <c r="D41" s="136"/>
      <c r="E41" s="209"/>
      <c r="F41" s="212"/>
      <c r="G41" s="154"/>
      <c r="H41" s="93"/>
      <c r="I41" s="132"/>
      <c r="J41" s="83"/>
      <c r="K41" s="83"/>
      <c r="L41" s="83"/>
      <c r="M41" s="133"/>
      <c r="N41" s="207"/>
      <c r="O41" s="208"/>
      <c r="P41" s="208"/>
      <c r="Q41" s="75"/>
      <c r="R41" s="75"/>
      <c r="S41" s="75"/>
      <c r="T41" s="88"/>
      <c r="U41" s="77"/>
      <c r="V41" s="77"/>
      <c r="W41" s="88"/>
      <c r="X41" s="89"/>
      <c r="Y41" s="208"/>
      <c r="Z41" s="208"/>
    </row>
    <row r="42" spans="1:26">
      <c r="A42" s="129"/>
      <c r="B42" s="212"/>
      <c r="C42" s="152"/>
      <c r="D42" s="144"/>
      <c r="E42" s="209"/>
      <c r="F42" s="212"/>
      <c r="G42" s="154"/>
      <c r="H42" s="93"/>
      <c r="I42" s="132" t="str" cm="1">
        <f t="array" ref="I42">IFERROR(_xlfn.TEXTJOIN(" / ", TRUE, IF(OWNER_LIST[Owner Name]=C_1_6[[#This Row],[OWNER NAME 1]], OWNER_LIST[Owner ORG], ""), IF(OWNER_LIST[Owner Name]=C_1_6[[#This Row],[OWNER NAME 2]], OWNER_LIST[Owner ORG], "")), "")</f>
        <v/>
      </c>
      <c r="J42" s="83"/>
      <c r="K42" s="83"/>
      <c r="L42" s="83"/>
      <c r="M42" s="133"/>
      <c r="N42" s="207"/>
      <c r="O42" s="208"/>
      <c r="P42" s="208"/>
      <c r="Q42" s="75"/>
      <c r="R42" s="75" t="str">
        <f xml:space="preserve"> _xlfn.CONCAT(C_1_6[[#This Row],[ESCALATE]], "-",C_1_6[[#This Row],[Row_PM]])</f>
        <v>-</v>
      </c>
      <c r="S42" s="75" t="str">
        <f xml:space="preserve"> _xlfn.CONCAT(C_1_6[[#This Row],[ESCALATE]], "-",C_1_6[[#This Row],[Notify_PM]])</f>
        <v>--</v>
      </c>
      <c r="T42" s="88">
        <f>ROW()</f>
        <v>42</v>
      </c>
      <c r="U42" s="77" t="str">
        <f>IF(C_1_6[[#This Row],[OWNER NAME 1]] = "", "",
   IF(_xlfn.XLOOKUP(C_1_6[[#This Row],[OWNER NAME 1]],OWNER_LIST[Owner Name], OWNER_LIST[Email], "") = "", "",
      _xlfn.XLOOKUP(C_1_6[[#This Row],[OWNER NAME 1]], OWNER_LIST[Owner Name], OWNER_LIST[Email], "")))</f>
        <v/>
      </c>
      <c r="V42" s="77" t="str">
        <f>IF(C_1_6[[#This Row],[OWNER NAME 2]] = "", "",
   IF(_xlfn.XLOOKUP(C_1_6[[#This Row],[OWNER NAME 2]],OWNER_LIST[Owner Name], OWNER_LIST[Email], "") = "", "",
      _xlfn.XLOOKUP(C_1_6[[#This Row],[OWNER NAME 2]], OWNER_LIST[Owner Name], OWNER_LIST[Email], "")))</f>
        <v/>
      </c>
      <c r="W42" s="88" t="str">
        <f t="shared" ref="W42:W51" si="2">$A$25</f>
        <v>C1</v>
      </c>
      <c r="X42" s="89" t="str">
        <f>IF(AND(NOT(ISBLANK(C_1_6[[#This Row],[ACTION - INFO]])),C_1_6[[#This Row],[ACTION - INFO]] &lt;&gt; "ACTION - INFO"),"Y","N")</f>
        <v>N</v>
      </c>
      <c r="Y42" s="208"/>
      <c r="Z42" s="208"/>
    </row>
    <row r="43" spans="1:26">
      <c r="A43" s="129"/>
      <c r="B43" s="212"/>
      <c r="C43" s="152"/>
      <c r="D43" s="144"/>
      <c r="E43" s="209"/>
      <c r="F43" s="212"/>
      <c r="G43" s="154"/>
      <c r="H43" s="93"/>
      <c r="I43" s="132" t="str" cm="1">
        <f t="array" ref="I43">IFERROR(_xlfn.TEXTJOIN(" / ", TRUE, IF(OWNER_LIST[Owner Name]=C_1_6[[#This Row],[OWNER NAME 1]], OWNER_LIST[Owner ORG], ""), IF(OWNER_LIST[Owner Name]=C_1_6[[#This Row],[OWNER NAME 2]], OWNER_LIST[Owner ORG], "")), "")</f>
        <v/>
      </c>
      <c r="J43" s="83"/>
      <c r="K43" s="83"/>
      <c r="L43" s="83"/>
      <c r="M43" s="133"/>
      <c r="N43" s="207"/>
      <c r="O43" s="208"/>
      <c r="P43" s="208"/>
      <c r="Q43" s="75"/>
      <c r="R43" s="75" t="str">
        <f xml:space="preserve"> _xlfn.CONCAT(C_1_6[[#This Row],[ESCALATE]], "-",C_1_6[[#This Row],[Row_PM]])</f>
        <v>-</v>
      </c>
      <c r="S43" s="75" t="str">
        <f xml:space="preserve"> _xlfn.CONCAT(C_1_6[[#This Row],[ESCALATE]], "-",C_1_6[[#This Row],[Notify_PM]])</f>
        <v>--</v>
      </c>
      <c r="T43" s="88">
        <f>ROW()</f>
        <v>43</v>
      </c>
      <c r="U43" s="77" t="str">
        <f>IF(C_1_6[[#This Row],[OWNER NAME 1]] = "", "",
   IF(_xlfn.XLOOKUP(C_1_6[[#This Row],[OWNER NAME 1]],OWNER_LIST[Owner Name], OWNER_LIST[Email], "") = "", "",
      _xlfn.XLOOKUP(C_1_6[[#This Row],[OWNER NAME 1]], OWNER_LIST[Owner Name], OWNER_LIST[Email], "")))</f>
        <v/>
      </c>
      <c r="V43" s="77" t="str">
        <f>IF(C_1_6[[#This Row],[OWNER NAME 2]] = "", "",
   IF(_xlfn.XLOOKUP(C_1_6[[#This Row],[OWNER NAME 2]],OWNER_LIST[Owner Name], OWNER_LIST[Email], "") = "", "",
      _xlfn.XLOOKUP(C_1_6[[#This Row],[OWNER NAME 2]], OWNER_LIST[Owner Name], OWNER_LIST[Email], "")))</f>
        <v/>
      </c>
      <c r="W43" s="88" t="str">
        <f t="shared" si="2"/>
        <v>C1</v>
      </c>
      <c r="X43" s="89" t="str">
        <f>IF(AND(NOT(ISBLANK(C_1_6[[#This Row],[ACTION - INFO]])),C_1_6[[#This Row],[ACTION - INFO]] &lt;&gt; "ACTION - INFO"),"Y","N")</f>
        <v>N</v>
      </c>
      <c r="Y43" s="208"/>
      <c r="Z43" s="208"/>
    </row>
    <row r="44" spans="1:26">
      <c r="A44" s="129"/>
      <c r="B44" s="212"/>
      <c r="C44" s="152"/>
      <c r="D44" s="144"/>
      <c r="E44" s="209"/>
      <c r="F44" s="212"/>
      <c r="G44" s="154"/>
      <c r="H44" s="93"/>
      <c r="I44" s="132" t="str" cm="1">
        <f t="array" ref="I44">IFERROR(_xlfn.TEXTJOIN(" / ", TRUE, IF(OWNER_LIST[Owner Name]=C_1_6[[#This Row],[OWNER NAME 1]], OWNER_LIST[Owner ORG], ""), IF(OWNER_LIST[Owner Name]=C_1_6[[#This Row],[OWNER NAME 2]], OWNER_LIST[Owner ORG], "")), "")</f>
        <v/>
      </c>
      <c r="J44" s="83"/>
      <c r="K44" s="83"/>
      <c r="L44" s="83"/>
      <c r="M44" s="133"/>
      <c r="N44" s="207"/>
      <c r="O44" s="208"/>
      <c r="P44" s="208"/>
      <c r="Q44" s="75"/>
      <c r="R44" s="75" t="str">
        <f xml:space="preserve"> _xlfn.CONCAT(C_1_6[[#This Row],[ESCALATE]], "-",C_1_6[[#This Row],[Row_PM]])</f>
        <v>-</v>
      </c>
      <c r="S44" s="75" t="str">
        <f xml:space="preserve"> _xlfn.CONCAT(C_1_6[[#This Row],[ESCALATE]], "-",C_1_6[[#This Row],[Notify_PM]])</f>
        <v>--</v>
      </c>
      <c r="T44" s="88">
        <f>ROW()</f>
        <v>44</v>
      </c>
      <c r="U44" s="77" t="str">
        <f>IF(C_1_6[[#This Row],[OWNER NAME 1]] = "", "",
   IF(_xlfn.XLOOKUP(C_1_6[[#This Row],[OWNER NAME 1]],OWNER_LIST[Owner Name], OWNER_LIST[Email], "") = "", "",
      _xlfn.XLOOKUP(C_1_6[[#This Row],[OWNER NAME 1]], OWNER_LIST[Owner Name], OWNER_LIST[Email], "")))</f>
        <v/>
      </c>
      <c r="V44" s="77" t="str">
        <f>IF(C_1_6[[#This Row],[OWNER NAME 2]] = "", "",
   IF(_xlfn.XLOOKUP(C_1_6[[#This Row],[OWNER NAME 2]],OWNER_LIST[Owner Name], OWNER_LIST[Email], "") = "", "",
      _xlfn.XLOOKUP(C_1_6[[#This Row],[OWNER NAME 2]], OWNER_LIST[Owner Name], OWNER_LIST[Email], "")))</f>
        <v/>
      </c>
      <c r="W44" s="88" t="str">
        <f t="shared" si="2"/>
        <v>C1</v>
      </c>
      <c r="X44" s="89" t="str">
        <f>IF(AND(NOT(ISBLANK(C_1_6[[#This Row],[ACTION - INFO]])),C_1_6[[#This Row],[ACTION - INFO]] &lt;&gt; "ACTION - INFO"),"Y","N")</f>
        <v>N</v>
      </c>
      <c r="Y44" s="208"/>
      <c r="Z44" s="208"/>
    </row>
    <row r="45" spans="1:26">
      <c r="A45" s="91"/>
      <c r="B45" s="46"/>
      <c r="C45" s="92"/>
      <c r="D45" s="46"/>
      <c r="E45" s="46"/>
      <c r="F45" s="46"/>
      <c r="G45" s="80"/>
      <c r="H45" s="93"/>
      <c r="I45" s="80" t="str" cm="1">
        <f t="array" ref="I45">IFERROR(_xlfn.TEXTJOIN(" / ", TRUE, IF(OWNER_LIST[Owner Name]=C_1_6[[#This Row],[OWNER NAME 1]], OWNER_LIST[Owner ORG], ""), IF(OWNER_LIST[Owner Name]=C_1_6[[#This Row],[OWNER NAME 2]], OWNER_LIST[Owner ORG], "")), "")</f>
        <v/>
      </c>
      <c r="J45" s="94"/>
      <c r="K45" s="95"/>
      <c r="L45" s="95"/>
      <c r="M45" s="93"/>
      <c r="N45" s="82"/>
      <c r="O45" s="208"/>
      <c r="P45" s="85"/>
      <c r="Q45" s="86"/>
      <c r="R45" s="75" t="str">
        <f xml:space="preserve"> _xlfn.CONCAT(C_1_6[[#This Row],[ESCALATE]], "-",C_1_6[[#This Row],[Row_PM]])</f>
        <v>-</v>
      </c>
      <c r="S45" s="75" t="str">
        <f xml:space="preserve"> _xlfn.CONCAT(C_1_6[[#This Row],[ESCALATE]], "-",C_1_6[[#This Row],[Notify_PM]])</f>
        <v>--</v>
      </c>
      <c r="T45" s="76">
        <f>ROW()</f>
        <v>45</v>
      </c>
      <c r="U45" s="77" t="str">
        <f>IF(C_1_6[[#This Row],[OWNER NAME 1]] = "", "",
   IF(_xlfn.XLOOKUP(C_1_6[[#This Row],[OWNER NAME 1]],OWNER_LIST[Owner Name], OWNER_LIST[Email], "") = "", "",
      _xlfn.XLOOKUP(C_1_6[[#This Row],[OWNER NAME 1]], OWNER_LIST[Owner Name], OWNER_LIST[Email], "")))</f>
        <v/>
      </c>
      <c r="V45" s="77" t="str">
        <f>IF(C_1_6[[#This Row],[OWNER NAME 2]] = "", "",
   IF(_xlfn.XLOOKUP(C_1_6[[#This Row],[OWNER NAME 2]],OWNER_LIST[Owner Name], OWNER_LIST[Email], "") = "", "",
      _xlfn.XLOOKUP(C_1_6[[#This Row],[OWNER NAME 2]], OWNER_LIST[Owner Name], OWNER_LIST[Email], "")))</f>
        <v/>
      </c>
      <c r="W45" s="76" t="str">
        <f t="shared" si="2"/>
        <v>C1</v>
      </c>
      <c r="X45" s="78" t="str">
        <f>IF(AND(NOT(ISBLANK(C_1_6[[#This Row],[ACTION - INFO]])),C_1_6[[#This Row],[ACTION - INFO]] &lt;&gt; "ACTION - INFO"),"Y","N")</f>
        <v>N</v>
      </c>
      <c r="Y45" s="208"/>
      <c r="Z45" s="208"/>
    </row>
    <row r="46" spans="1:26">
      <c r="A46" s="64" t="s">
        <v>409</v>
      </c>
      <c r="B46" s="65" t="s">
        <v>99</v>
      </c>
      <c r="C46" s="65"/>
      <c r="D46" s="64" t="s">
        <v>4</v>
      </c>
      <c r="E46" s="65"/>
      <c r="F46" s="64" t="s">
        <v>4</v>
      </c>
      <c r="G46" s="66" t="s">
        <v>4</v>
      </c>
      <c r="H46" s="67"/>
      <c r="I46" s="66" t="str" cm="1">
        <f t="array" ref="I46">IFERROR(_xlfn.TEXTJOIN(" / ", TRUE, IF(OWNER_LIST[Owner Name]=C_1_6[[#This Row],[OWNER NAME 1]], OWNER_LIST[Owner ORG], ""), IF(OWNER_LIST[Owner Name]=C_1_6[[#This Row],[OWNER NAME 2]], OWNER_LIST[Owner ORG], "")), "")</f>
        <v/>
      </c>
      <c r="J46" s="64"/>
      <c r="K46" s="64" t="s">
        <v>4</v>
      </c>
      <c r="L46" s="64" t="s">
        <v>4</v>
      </c>
      <c r="M46" s="67" t="s">
        <v>4</v>
      </c>
      <c r="N46" s="67" t="s">
        <v>4</v>
      </c>
      <c r="O46" s="64" t="s">
        <v>4</v>
      </c>
      <c r="P46" s="64" t="s">
        <v>4</v>
      </c>
      <c r="Q46" s="68"/>
      <c r="R46" s="68" t="str">
        <f xml:space="preserve"> _xlfn.CONCAT(C_1_6[[#This Row],[ESCALATE]], "-",C_1_6[[#This Row],[Row_PM]])</f>
        <v> -</v>
      </c>
      <c r="S46" s="68" t="str">
        <f xml:space="preserve"> _xlfn.CONCAT(C_1_6[[#This Row],[ESCALATE]], "-",C_1_6[[#This Row],[Notify_PM]])</f>
        <v> - -</v>
      </c>
      <c r="T46" s="69">
        <f>ROW()</f>
        <v>46</v>
      </c>
      <c r="U46" s="70" t="str">
        <f>IF(C_1_6[[#This Row],[OWNER NAME 1]] = "", "",
   IF(_xlfn.XLOOKUP(C_1_6[[#This Row],[OWNER NAME 1]],OWNER_LIST[Owner Name], OWNER_LIST[Email], "") = "", "",
      _xlfn.XLOOKUP(C_1_6[[#This Row],[OWNER NAME 1]], OWNER_LIST[Owner Name], OWNER_LIST[Email], "")))</f>
        <v/>
      </c>
      <c r="V46" s="70" t="str">
        <f>IF(C_1_6[[#This Row],[OWNER NAME 2]] = "", "",
   IF(_xlfn.XLOOKUP(C_1_6[[#This Row],[OWNER NAME 2]],OWNER_LIST[Owner Name], OWNER_LIST[Email], "") = "", "",
      _xlfn.XLOOKUP(C_1_6[[#This Row],[OWNER NAME 2]], OWNER_LIST[Owner Name], OWNER_LIST[Email], "")))</f>
        <v/>
      </c>
      <c r="W46" s="69" t="str">
        <f t="shared" si="2"/>
        <v>C1</v>
      </c>
      <c r="X46" s="71" t="str">
        <f>IF(AND(NOT(ISBLANK(C_1_6[[#This Row],[ACTION - INFO]])),C_1_6[[#This Row],[ACTION - INFO]] &lt;&gt; "ACTION - INFO"),"Y","N")</f>
        <v>N</v>
      </c>
      <c r="Y46" s="208"/>
      <c r="Z46" s="208"/>
    </row>
    <row r="47" spans="1:26">
      <c r="A47" s="46"/>
      <c r="B47" s="46"/>
      <c r="C47" s="90"/>
      <c r="D47" s="46"/>
      <c r="E47" s="46"/>
      <c r="F47" s="46"/>
      <c r="G47" s="80"/>
      <c r="H47" s="81"/>
      <c r="I47" s="80" t="str" cm="1">
        <f t="array" ref="I47">IFERROR(_xlfn.TEXTJOIN(" / ", TRUE, IF(OWNER_LIST[Owner Name]=C_1_6[[#This Row],[OWNER NAME 1]], OWNER_LIST[Owner ORG], ""), IF(OWNER_LIST[Owner Name]=C_1_6[[#This Row],[OWNER NAME 2]], OWNER_LIST[Owner ORG], "")), "")</f>
        <v/>
      </c>
      <c r="J47" s="46"/>
      <c r="K47" s="46"/>
      <c r="L47" s="46"/>
      <c r="M47" s="81"/>
      <c r="N47" s="81"/>
      <c r="O47" s="256"/>
      <c r="P47" s="31"/>
      <c r="Q47" s="75"/>
      <c r="R47" s="75" t="str">
        <f xml:space="preserve"> _xlfn.CONCAT(C_1_6[[#This Row],[ESCALATE]], "-",C_1_6[[#This Row],[Row_PM]])</f>
        <v>-</v>
      </c>
      <c r="S47" s="75" t="str">
        <f xml:space="preserve"> _xlfn.CONCAT(C_1_6[[#This Row],[ESCALATE]], "-",C_1_6[[#This Row],[Notify_PM]])</f>
        <v>--</v>
      </c>
      <c r="T47" s="75">
        <f>ROW()</f>
        <v>47</v>
      </c>
      <c r="U47" s="75" t="str">
        <f>IF(C_1_6[[#This Row],[OWNER NAME 1]] = "", "",
   IF(_xlfn.XLOOKUP(C_1_6[[#This Row],[OWNER NAME 1]],OWNER_LIST[Owner Name], OWNER_LIST[Email], "") = "", "",
      _xlfn.XLOOKUP(C_1_6[[#This Row],[OWNER NAME 1]], OWNER_LIST[Owner Name], OWNER_LIST[Email], "")))</f>
        <v/>
      </c>
      <c r="V47" s="75" t="str">
        <f>IF(C_1_6[[#This Row],[OWNER NAME 2]] = "", "",
   IF(_xlfn.XLOOKUP(C_1_6[[#This Row],[OWNER NAME 2]],OWNER_LIST[Owner Name], OWNER_LIST[Email], "") = "", "",
      _xlfn.XLOOKUP(C_1_6[[#This Row],[OWNER NAME 2]], OWNER_LIST[Owner Name], OWNER_LIST[Email], "")))</f>
        <v/>
      </c>
      <c r="W47" s="75" t="str">
        <f t="shared" si="2"/>
        <v>C1</v>
      </c>
      <c r="X47" s="75" t="str">
        <f>IF(AND(NOT(ISBLANK(C_1_6[[#This Row],[ACTION - INFO]])),C_1_6[[#This Row],[ACTION - INFO]] &lt;&gt; "ACTION - INFO"),"Y","N")</f>
        <v>N</v>
      </c>
      <c r="Y47" s="208"/>
      <c r="Z47" s="208"/>
    </row>
    <row r="48" spans="1:26">
      <c r="A48" s="46"/>
      <c r="B48" s="46"/>
      <c r="C48" s="90"/>
      <c r="D48" s="46"/>
      <c r="E48" s="46"/>
      <c r="F48" s="46"/>
      <c r="G48" s="80"/>
      <c r="H48" s="81"/>
      <c r="I48" s="80" t="str" cm="1">
        <f t="array" ref="I48">IFERROR(_xlfn.TEXTJOIN(" / ", TRUE, IF(OWNER_LIST[Owner Name]=C_1_6[[#This Row],[OWNER NAME 1]], OWNER_LIST[Owner ORG], ""), IF(OWNER_LIST[Owner Name]=C_1_6[[#This Row],[OWNER NAME 2]], OWNER_LIST[Owner ORG], "")), "")</f>
        <v/>
      </c>
      <c r="J48" s="46"/>
      <c r="K48" s="46"/>
      <c r="L48" s="46"/>
      <c r="M48" s="81"/>
      <c r="N48" s="81"/>
      <c r="O48" s="256"/>
      <c r="P48" s="31"/>
      <c r="Q48" s="75"/>
      <c r="R48" s="75" t="str">
        <f xml:space="preserve"> _xlfn.CONCAT(C_1_6[[#This Row],[ESCALATE]], "-",C_1_6[[#This Row],[Row_PM]])</f>
        <v>-</v>
      </c>
      <c r="S48" s="75" t="str">
        <f xml:space="preserve"> _xlfn.CONCAT(C_1_6[[#This Row],[ESCALATE]], "-",C_1_6[[#This Row],[Notify_PM]])</f>
        <v>--</v>
      </c>
      <c r="T48" s="75">
        <f>ROW()</f>
        <v>48</v>
      </c>
      <c r="U48" s="75" t="str">
        <f>IF(C_1_6[[#This Row],[OWNER NAME 1]] = "", "",
   IF(_xlfn.XLOOKUP(C_1_6[[#This Row],[OWNER NAME 1]],OWNER_LIST[Owner Name], OWNER_LIST[Email], "") = "", "",
      _xlfn.XLOOKUP(C_1_6[[#This Row],[OWNER NAME 1]], OWNER_LIST[Owner Name], OWNER_LIST[Email], "")))</f>
        <v/>
      </c>
      <c r="V48" s="75" t="str">
        <f>IF(C_1_6[[#This Row],[OWNER NAME 2]] = "", "",
   IF(_xlfn.XLOOKUP(C_1_6[[#This Row],[OWNER NAME 2]],OWNER_LIST[Owner Name], OWNER_LIST[Email], "") = "", "",
      _xlfn.XLOOKUP(C_1_6[[#This Row],[OWNER NAME 2]], OWNER_LIST[Owner Name], OWNER_LIST[Email], "")))</f>
        <v/>
      </c>
      <c r="W48" s="75" t="str">
        <f t="shared" si="2"/>
        <v>C1</v>
      </c>
      <c r="X48" s="75" t="str">
        <f>IF(AND(NOT(ISBLANK(C_1_6[[#This Row],[ACTION - INFO]])),C_1_6[[#This Row],[ACTION - INFO]] &lt;&gt; "ACTION - INFO"),"Y","N")</f>
        <v>N</v>
      </c>
      <c r="Y48" s="208"/>
      <c r="Z48" s="208"/>
    </row>
    <row r="49" spans="1:26">
      <c r="A49" s="46"/>
      <c r="B49" s="46"/>
      <c r="C49" s="90"/>
      <c r="D49" s="46"/>
      <c r="E49" s="46"/>
      <c r="F49" s="46"/>
      <c r="G49" s="80"/>
      <c r="H49" s="81"/>
      <c r="I49" s="80" t="str" cm="1">
        <f t="array" ref="I49">IFERROR(_xlfn.TEXTJOIN(" / ", TRUE, IF(OWNER_LIST[Owner Name]=C_1_6[[#This Row],[OWNER NAME 1]], OWNER_LIST[Owner ORG], ""), IF(OWNER_LIST[Owner Name]=C_1_6[[#This Row],[OWNER NAME 2]], OWNER_LIST[Owner ORG], "")), "")</f>
        <v/>
      </c>
      <c r="J49" s="46"/>
      <c r="K49" s="46"/>
      <c r="L49" s="46"/>
      <c r="M49" s="81"/>
      <c r="N49" s="81"/>
      <c r="O49" s="256"/>
      <c r="P49" s="31"/>
      <c r="Q49" s="75"/>
      <c r="R49" s="75" t="str">
        <f xml:space="preserve"> _xlfn.CONCAT(C_1_6[[#This Row],[ESCALATE]], "-",C_1_6[[#This Row],[Row_PM]])</f>
        <v>-</v>
      </c>
      <c r="S49" s="75" t="str">
        <f xml:space="preserve"> _xlfn.CONCAT(C_1_6[[#This Row],[ESCALATE]], "-",C_1_6[[#This Row],[Notify_PM]])</f>
        <v>--</v>
      </c>
      <c r="T49" s="75">
        <f>ROW()</f>
        <v>49</v>
      </c>
      <c r="U49" s="75" t="str">
        <f>IF(C_1_6[[#This Row],[OWNER NAME 1]] = "", "",
   IF(_xlfn.XLOOKUP(C_1_6[[#This Row],[OWNER NAME 1]],OWNER_LIST[Owner Name], OWNER_LIST[Email], "") = "", "",
      _xlfn.XLOOKUP(C_1_6[[#This Row],[OWNER NAME 1]], OWNER_LIST[Owner Name], OWNER_LIST[Email], "")))</f>
        <v/>
      </c>
      <c r="V49" s="75" t="str">
        <f>IF(C_1_6[[#This Row],[OWNER NAME 2]] = "", "",
   IF(_xlfn.XLOOKUP(C_1_6[[#This Row],[OWNER NAME 2]],OWNER_LIST[Owner Name], OWNER_LIST[Email], "") = "", "",
      _xlfn.XLOOKUP(C_1_6[[#This Row],[OWNER NAME 2]], OWNER_LIST[Owner Name], OWNER_LIST[Email], "")))</f>
        <v/>
      </c>
      <c r="W49" s="75" t="str">
        <f t="shared" si="2"/>
        <v>C1</v>
      </c>
      <c r="X49" s="75" t="str">
        <f>IF(AND(NOT(ISBLANK(C_1_6[[#This Row],[ACTION - INFO]])),C_1_6[[#This Row],[ACTION - INFO]] &lt;&gt; "ACTION - INFO"),"Y","N")</f>
        <v>N</v>
      </c>
      <c r="Y49" s="208"/>
      <c r="Z49" s="208"/>
    </row>
    <row r="50" spans="1:26">
      <c r="A50" s="46"/>
      <c r="B50" s="46"/>
      <c r="C50" s="90"/>
      <c r="D50" s="46"/>
      <c r="E50" s="46"/>
      <c r="F50" s="46"/>
      <c r="G50" s="80"/>
      <c r="H50" s="81"/>
      <c r="I50" s="80" t="str" cm="1">
        <f t="array" ref="I50">IFERROR(_xlfn.TEXTJOIN(" / ", TRUE, IF(OWNER_LIST[Owner Name]=C_1_6[[#This Row],[OWNER NAME 1]], OWNER_LIST[Owner ORG], ""), IF(OWNER_LIST[Owner Name]=C_1_6[[#This Row],[OWNER NAME 2]], OWNER_LIST[Owner ORG], "")), "")</f>
        <v/>
      </c>
      <c r="J50" s="46"/>
      <c r="K50" s="46"/>
      <c r="L50" s="46"/>
      <c r="M50" s="81"/>
      <c r="N50" s="81"/>
      <c r="O50" s="256"/>
      <c r="P50" s="31"/>
      <c r="Q50" s="75"/>
      <c r="R50" s="75" t="str">
        <f xml:space="preserve"> _xlfn.CONCAT(C_1_6[[#This Row],[ESCALATE]], "-",C_1_6[[#This Row],[Row_PM]])</f>
        <v>-</v>
      </c>
      <c r="S50" s="75" t="str">
        <f xml:space="preserve"> _xlfn.CONCAT(C_1_6[[#This Row],[ESCALATE]], "-",C_1_6[[#This Row],[Notify_PM]])</f>
        <v>--</v>
      </c>
      <c r="T50" s="75">
        <f>ROW()</f>
        <v>50</v>
      </c>
      <c r="U50" s="75" t="str">
        <f>IF(C_1_6[[#This Row],[OWNER NAME 1]] = "", "",
   IF(_xlfn.XLOOKUP(C_1_6[[#This Row],[OWNER NAME 1]],OWNER_LIST[Owner Name], OWNER_LIST[Email], "") = "", "",
      _xlfn.XLOOKUP(C_1_6[[#This Row],[OWNER NAME 1]], OWNER_LIST[Owner Name], OWNER_LIST[Email], "")))</f>
        <v/>
      </c>
      <c r="V50" s="75" t="str">
        <f>IF(C_1_6[[#This Row],[OWNER NAME 2]] = "", "",
   IF(_xlfn.XLOOKUP(C_1_6[[#This Row],[OWNER NAME 2]],OWNER_LIST[Owner Name], OWNER_LIST[Email], "") = "", "",
      _xlfn.XLOOKUP(C_1_6[[#This Row],[OWNER NAME 2]], OWNER_LIST[Owner Name], OWNER_LIST[Email], "")))</f>
        <v/>
      </c>
      <c r="W50" s="75" t="str">
        <f t="shared" si="2"/>
        <v>C1</v>
      </c>
      <c r="X50" s="75" t="str">
        <f>IF(AND(NOT(ISBLANK(C_1_6[[#This Row],[ACTION - INFO]])),C_1_6[[#This Row],[ACTION - INFO]] &lt;&gt; "ACTION - INFO"),"Y","N")</f>
        <v>N</v>
      </c>
      <c r="Y50" s="208"/>
      <c r="Z50" s="208"/>
    </row>
    <row r="51" spans="1:26">
      <c r="A51" s="46"/>
      <c r="B51" s="46"/>
      <c r="C51" s="90"/>
      <c r="D51" s="46"/>
      <c r="E51" s="46"/>
      <c r="F51" s="46"/>
      <c r="G51" s="80"/>
      <c r="H51" s="81"/>
      <c r="I51" s="80" t="str" cm="1">
        <f t="array" ref="I51">IFERROR(_xlfn.TEXTJOIN(" / ", TRUE, IF(OWNER_LIST[Owner Name]=C_1_6[[#This Row],[OWNER NAME 1]], OWNER_LIST[Owner ORG], ""), IF(OWNER_LIST[Owner Name]=C_1_6[[#This Row],[OWNER NAME 2]], OWNER_LIST[Owner ORG], "")), "")</f>
        <v/>
      </c>
      <c r="J51" s="46"/>
      <c r="K51" s="46"/>
      <c r="L51" s="46"/>
      <c r="M51" s="81"/>
      <c r="N51" s="81"/>
      <c r="O51" s="256"/>
      <c r="P51" s="31"/>
      <c r="Q51" s="75"/>
      <c r="R51" s="75" t="str">
        <f xml:space="preserve"> _xlfn.CONCAT(C_1_6[[#This Row],[ESCALATE]], "-",C_1_6[[#This Row],[Row_PM]])</f>
        <v>-</v>
      </c>
      <c r="S51" s="75" t="str">
        <f xml:space="preserve"> _xlfn.CONCAT(C_1_6[[#This Row],[ESCALATE]], "-",C_1_6[[#This Row],[Notify_PM]])</f>
        <v>--</v>
      </c>
      <c r="T51" s="75">
        <f>ROW()</f>
        <v>51</v>
      </c>
      <c r="U51" s="75" t="str">
        <f>IF(C_1_6[[#This Row],[OWNER NAME 1]] = "", "",
   IF(_xlfn.XLOOKUP(C_1_6[[#This Row],[OWNER NAME 1]],OWNER_LIST[Owner Name], OWNER_LIST[Email], "") = "", "",
      _xlfn.XLOOKUP(C_1_6[[#This Row],[OWNER NAME 1]], OWNER_LIST[Owner Name], OWNER_LIST[Email], "")))</f>
        <v/>
      </c>
      <c r="V51" s="75" t="str">
        <f>IF(C_1_6[[#This Row],[OWNER NAME 2]] = "", "",
   IF(_xlfn.XLOOKUP(C_1_6[[#This Row],[OWNER NAME 2]],OWNER_LIST[Owner Name], OWNER_LIST[Email], "") = "", "",
      _xlfn.XLOOKUP(C_1_6[[#This Row],[OWNER NAME 2]], OWNER_LIST[Owner Name], OWNER_LIST[Email], "")))</f>
        <v/>
      </c>
      <c r="W51" s="75" t="str">
        <f t="shared" si="2"/>
        <v>C1</v>
      </c>
      <c r="X51" s="75" t="str">
        <f>IF(AND(NOT(ISBLANK(C_1_6[[#This Row],[ACTION - INFO]])),C_1_6[[#This Row],[ACTION - INFO]] &lt;&gt; "ACTION - INFO"),"Y","N")</f>
        <v>N</v>
      </c>
      <c r="Y51" s="208"/>
      <c r="Z51" s="208"/>
    </row>
    <row r="52" spans="1:26">
      <c r="A52" s="46"/>
      <c r="B52" s="46"/>
      <c r="C52" s="90"/>
      <c r="D52" s="46"/>
      <c r="E52" s="46"/>
      <c r="F52" s="46"/>
      <c r="G52" s="46"/>
      <c r="H52" s="46"/>
      <c r="I52" s="46"/>
      <c r="J52" s="46"/>
      <c r="K52" s="46"/>
      <c r="L52" s="46"/>
      <c r="M52" s="46"/>
      <c r="N52" s="46"/>
      <c r="O52" s="46"/>
      <c r="P52" s="31"/>
      <c r="Q52" s="208"/>
      <c r="R52" s="85"/>
      <c r="S52" s="85"/>
      <c r="T52" s="85"/>
      <c r="U52" s="85"/>
      <c r="V52" s="85"/>
      <c r="W52" s="85"/>
      <c r="X52" s="85"/>
      <c r="Y52" s="208"/>
      <c r="Z52" s="208"/>
    </row>
    <row r="53" spans="1:26">
      <c r="A53" s="64" t="s">
        <v>4</v>
      </c>
      <c r="B53" s="65" t="s">
        <v>422</v>
      </c>
      <c r="C53" s="65"/>
      <c r="D53" s="64" t="s">
        <v>4</v>
      </c>
      <c r="E53" s="65" t="s">
        <v>4</v>
      </c>
      <c r="F53" s="64" t="s">
        <v>4</v>
      </c>
      <c r="G53" s="64"/>
      <c r="H53" s="64"/>
      <c r="I53" s="64"/>
      <c r="J53" s="64" t="s">
        <v>4</v>
      </c>
      <c r="K53" s="64" t="s">
        <v>4</v>
      </c>
      <c r="L53" s="64" t="s">
        <v>4</v>
      </c>
      <c r="M53" s="64" t="s">
        <v>4</v>
      </c>
      <c r="N53" s="64" t="s">
        <v>4</v>
      </c>
      <c r="O53" s="64" t="s">
        <v>4</v>
      </c>
      <c r="P53" s="64" t="s">
        <v>4</v>
      </c>
      <c r="Q53" s="64" t="s">
        <v>4</v>
      </c>
      <c r="R53" s="64" t="s">
        <v>4</v>
      </c>
      <c r="S53" s="96" t="s">
        <v>4</v>
      </c>
      <c r="T53" s="257"/>
      <c r="U53" s="257"/>
      <c r="V53" s="257"/>
      <c r="W53" s="257"/>
      <c r="X53" s="257"/>
      <c r="Y53" s="208"/>
      <c r="Z53" s="208"/>
    </row>
    <row r="54" spans="1:26">
      <c r="A54" s="97"/>
      <c r="B54" s="98"/>
      <c r="C54" s="99"/>
      <c r="D54" s="100"/>
      <c r="E54" s="101"/>
      <c r="F54" s="102"/>
      <c r="G54" s="103"/>
      <c r="H54" s="104"/>
      <c r="I54" s="105"/>
      <c r="J54" s="102"/>
      <c r="K54" s="102"/>
      <c r="L54" s="102"/>
      <c r="M54" s="102"/>
      <c r="N54" s="102"/>
      <c r="O54" s="102"/>
      <c r="P54" s="106"/>
      <c r="Q54" s="98"/>
      <c r="R54" s="98"/>
      <c r="S54" s="98"/>
      <c r="T54" s="98"/>
      <c r="U54" s="98"/>
      <c r="V54" s="98"/>
      <c r="W54" s="98"/>
      <c r="X54" s="98"/>
      <c r="Y54" s="208"/>
      <c r="Z54" s="208"/>
    </row>
    <row r="55" spans="1:26">
      <c r="A55" s="107"/>
      <c r="B55" s="108"/>
      <c r="C55" s="109"/>
      <c r="D55" s="110"/>
      <c r="E55" s="108"/>
      <c r="F55" s="111"/>
      <c r="G55" s="112"/>
      <c r="H55" s="113"/>
      <c r="I55" s="114"/>
      <c r="J55" s="115"/>
      <c r="K55" s="115"/>
      <c r="L55" s="116"/>
      <c r="M55" s="117"/>
      <c r="N55" s="116"/>
      <c r="O55" s="85"/>
      <c r="P55" s="85"/>
      <c r="Q55" s="85"/>
      <c r="R55" s="85"/>
      <c r="S55" s="85"/>
      <c r="T55" s="85"/>
      <c r="U55" s="85"/>
      <c r="V55" s="85"/>
      <c r="W55" s="85"/>
      <c r="X55" s="118"/>
      <c r="Y55" s="208"/>
      <c r="Z55" s="208"/>
    </row>
    <row r="56" spans="1:26">
      <c r="A56" s="107"/>
      <c r="B56" s="108"/>
      <c r="C56" s="109"/>
      <c r="D56" s="110"/>
      <c r="E56" s="108"/>
      <c r="F56" s="107"/>
      <c r="G56" s="119"/>
      <c r="H56" s="120"/>
      <c r="I56" s="121"/>
      <c r="J56" s="115"/>
      <c r="K56" s="115"/>
      <c r="L56" s="116"/>
      <c r="M56" s="117"/>
      <c r="N56" s="122"/>
      <c r="O56" s="85"/>
      <c r="P56" s="85"/>
      <c r="Q56" s="85"/>
      <c r="R56" s="85"/>
      <c r="S56" s="85"/>
      <c r="T56" s="85"/>
      <c r="U56" s="85"/>
      <c r="V56" s="85"/>
      <c r="W56" s="85"/>
      <c r="X56" s="258"/>
      <c r="Y56" s="208"/>
      <c r="Z56" s="208"/>
    </row>
    <row r="57" spans="1:26">
      <c r="A57" s="107"/>
      <c r="B57" s="108"/>
      <c r="C57" s="109"/>
      <c r="D57" s="110"/>
      <c r="E57" s="108"/>
      <c r="F57" s="138"/>
      <c r="G57" s="112"/>
      <c r="H57" s="113"/>
      <c r="I57" s="121"/>
      <c r="J57" s="115"/>
      <c r="K57" s="115"/>
      <c r="L57" s="116"/>
      <c r="M57" s="117"/>
      <c r="N57" s="116"/>
      <c r="O57" s="85"/>
      <c r="P57" s="85"/>
      <c r="Q57" s="85"/>
      <c r="R57" s="85"/>
      <c r="S57" s="85"/>
      <c r="T57" s="85"/>
      <c r="U57" s="85"/>
      <c r="V57" s="85"/>
      <c r="W57" s="85"/>
      <c r="X57" s="118"/>
      <c r="Y57" s="208"/>
      <c r="Z57" s="208"/>
    </row>
    <row r="58" spans="1:26">
      <c r="A58" s="61"/>
      <c r="B58" s="123"/>
      <c r="C58" s="61"/>
      <c r="D58" s="61"/>
      <c r="E58" s="61"/>
      <c r="F58" s="61"/>
      <c r="G58" s="124"/>
      <c r="H58" s="61"/>
      <c r="I58" s="61"/>
      <c r="J58" s="125"/>
      <c r="K58" s="125"/>
      <c r="L58" s="61"/>
      <c r="M58" s="61"/>
      <c r="N58" s="125"/>
      <c r="O58" s="125"/>
      <c r="P58" s="126"/>
      <c r="Q58" s="208"/>
      <c r="R58" s="208"/>
      <c r="S58" s="208"/>
      <c r="T58" s="208"/>
      <c r="U58" s="208"/>
      <c r="V58" s="208"/>
      <c r="W58" s="208"/>
      <c r="X58" s="208"/>
      <c r="Y58" s="208"/>
      <c r="Z58" s="208"/>
    </row>
    <row r="59" spans="1:26">
      <c r="A59" s="61"/>
      <c r="B59" s="123"/>
      <c r="C59" s="61"/>
      <c r="D59" s="61"/>
      <c r="E59" s="61"/>
      <c r="F59" s="61"/>
      <c r="G59" s="124"/>
      <c r="H59" s="61"/>
      <c r="I59" s="61"/>
      <c r="J59" s="125"/>
      <c r="K59" s="125"/>
      <c r="L59" s="61"/>
      <c r="M59" s="61"/>
      <c r="N59" s="125"/>
      <c r="O59" s="125"/>
      <c r="P59" s="126"/>
      <c r="Q59" s="208"/>
      <c r="R59" s="208"/>
      <c r="S59" s="208"/>
      <c r="T59" s="208"/>
      <c r="U59" s="208"/>
      <c r="V59" s="208"/>
      <c r="W59" s="208"/>
      <c r="X59" s="208"/>
      <c r="Y59" s="208"/>
      <c r="Z59" s="208"/>
    </row>
    <row r="60" spans="1:26">
      <c r="A60" s="61"/>
      <c r="B60" s="123"/>
      <c r="C60" s="61"/>
      <c r="D60" s="61"/>
      <c r="E60" s="61"/>
      <c r="F60" s="61"/>
      <c r="G60" s="124"/>
      <c r="H60" s="61"/>
      <c r="I60" s="61"/>
      <c r="J60" s="125"/>
      <c r="K60" s="125"/>
      <c r="L60" s="61"/>
      <c r="M60" s="61"/>
      <c r="N60" s="125"/>
      <c r="O60" s="125"/>
      <c r="P60" s="126"/>
      <c r="Q60" s="208"/>
      <c r="R60" s="208"/>
      <c r="S60" s="208"/>
      <c r="T60" s="208"/>
      <c r="U60" s="208"/>
      <c r="V60" s="208"/>
      <c r="W60" s="208"/>
      <c r="X60" s="208"/>
      <c r="Y60" s="208"/>
      <c r="Z60" s="208"/>
    </row>
    <row r="61" spans="1:26">
      <c r="A61" s="61"/>
      <c r="B61" s="123"/>
      <c r="C61" s="61"/>
      <c r="D61" s="61"/>
      <c r="E61" s="61"/>
      <c r="F61" s="61"/>
      <c r="G61" s="124"/>
      <c r="H61" s="61"/>
      <c r="I61" s="61"/>
      <c r="J61" s="125"/>
      <c r="K61" s="125"/>
      <c r="L61" s="61"/>
      <c r="M61" s="61"/>
      <c r="N61" s="125"/>
      <c r="O61" s="125"/>
      <c r="P61" s="126"/>
      <c r="Q61" s="208"/>
      <c r="R61" s="208"/>
      <c r="S61" s="208"/>
      <c r="T61" s="208"/>
      <c r="U61" s="208"/>
      <c r="V61" s="208"/>
      <c r="W61" s="208"/>
      <c r="X61" s="208"/>
      <c r="Y61" s="208"/>
      <c r="Z61" s="208"/>
    </row>
    <row r="62" spans="1:26">
      <c r="A62" s="242"/>
      <c r="B62" s="242"/>
      <c r="C62" s="242"/>
      <c r="D62" s="242"/>
      <c r="E62" s="242"/>
      <c r="F62" s="242"/>
      <c r="G62" s="208"/>
      <c r="H62" s="208"/>
      <c r="I62" s="208"/>
      <c r="J62" s="208"/>
      <c r="K62" s="208"/>
      <c r="L62" s="208"/>
      <c r="M62" s="208"/>
      <c r="N62" s="208"/>
      <c r="O62" s="208"/>
      <c r="P62" s="208"/>
      <c r="Q62" s="208"/>
      <c r="R62" s="208"/>
      <c r="S62" s="208"/>
      <c r="T62" s="208"/>
      <c r="U62" s="208"/>
      <c r="V62" s="208"/>
      <c r="W62" s="208"/>
      <c r="X62" s="208"/>
      <c r="Y62" s="208"/>
      <c r="Z62" s="208"/>
    </row>
    <row r="63" spans="1:26">
      <c r="A63" s="242"/>
      <c r="B63" s="242"/>
      <c r="C63" s="242"/>
      <c r="D63" s="242"/>
      <c r="E63" s="242"/>
      <c r="F63" s="242"/>
      <c r="G63" s="208"/>
      <c r="H63" s="208"/>
      <c r="I63" s="208"/>
      <c r="J63" s="208"/>
      <c r="K63" s="208"/>
      <c r="L63" s="208"/>
      <c r="M63" s="208"/>
      <c r="N63" s="208"/>
      <c r="O63" s="208"/>
      <c r="P63" s="208"/>
      <c r="Q63" s="208"/>
      <c r="R63" s="208"/>
      <c r="S63" s="208"/>
      <c r="T63" s="208"/>
      <c r="U63" s="208"/>
      <c r="V63" s="208"/>
      <c r="W63" s="208"/>
      <c r="X63" s="208"/>
      <c r="Y63" s="208"/>
      <c r="Z63" s="208"/>
    </row>
    <row r="64" spans="1:26">
      <c r="A64" s="242"/>
      <c r="B64" s="242"/>
      <c r="C64" s="242"/>
      <c r="D64" s="242"/>
      <c r="E64" s="242"/>
      <c r="F64" s="242"/>
      <c r="G64" s="208"/>
      <c r="H64" s="208"/>
      <c r="I64" s="208"/>
      <c r="J64" s="208"/>
      <c r="K64" s="208"/>
      <c r="L64" s="208"/>
      <c r="M64" s="208"/>
      <c r="N64" s="208"/>
      <c r="O64" s="208"/>
      <c r="P64" s="208"/>
      <c r="Q64" s="208"/>
      <c r="R64" s="208"/>
      <c r="S64" s="208"/>
      <c r="T64" s="208"/>
      <c r="U64" s="208"/>
      <c r="V64" s="208"/>
      <c r="W64" s="208"/>
      <c r="X64" s="208"/>
      <c r="Y64" s="208"/>
      <c r="Z64" s="208"/>
    </row>
    <row r="65" spans="1:26">
      <c r="A65" s="242"/>
      <c r="B65" s="242"/>
      <c r="C65" s="242"/>
      <c r="D65" s="242"/>
      <c r="E65" s="242"/>
      <c r="F65" s="242"/>
      <c r="G65" s="208"/>
      <c r="H65" s="208"/>
      <c r="I65" s="208"/>
      <c r="J65" s="208"/>
      <c r="K65" s="208"/>
      <c r="L65" s="208"/>
      <c r="M65" s="208"/>
      <c r="N65" s="208"/>
      <c r="O65" s="208"/>
      <c r="P65" s="208"/>
      <c r="Q65" s="208"/>
      <c r="R65" s="208"/>
      <c r="S65" s="208"/>
      <c r="T65" s="208"/>
      <c r="U65" s="208"/>
      <c r="V65" s="208"/>
      <c r="W65" s="208"/>
      <c r="X65" s="208"/>
      <c r="Y65" s="208"/>
      <c r="Z65" s="208"/>
    </row>
    <row r="66" spans="1:26">
      <c r="A66" s="242"/>
      <c r="B66" s="242"/>
      <c r="C66" s="242"/>
      <c r="D66" s="242"/>
      <c r="E66" s="242"/>
      <c r="F66" s="242"/>
      <c r="G66" s="208"/>
      <c r="H66" s="208"/>
      <c r="I66" s="208"/>
      <c r="J66" s="208"/>
      <c r="K66" s="208"/>
      <c r="L66" s="208"/>
      <c r="M66" s="208"/>
      <c r="N66" s="208"/>
      <c r="O66" s="208"/>
      <c r="P66" s="208"/>
      <c r="Q66" s="208"/>
      <c r="R66" s="208"/>
      <c r="S66" s="208"/>
      <c r="T66" s="208"/>
      <c r="U66" s="208"/>
      <c r="V66" s="208"/>
      <c r="W66" s="208"/>
      <c r="X66" s="208"/>
      <c r="Y66" s="208"/>
      <c r="Z66" s="208"/>
    </row>
    <row r="67" spans="1:26">
      <c r="A67" s="242"/>
      <c r="B67" s="242"/>
      <c r="C67" s="242"/>
      <c r="D67" s="242"/>
      <c r="E67" s="242"/>
      <c r="F67" s="242"/>
      <c r="G67" s="208"/>
      <c r="H67" s="208"/>
      <c r="I67" s="208"/>
      <c r="J67" s="208"/>
      <c r="K67" s="208"/>
      <c r="L67" s="208"/>
      <c r="M67" s="208"/>
      <c r="N67" s="208"/>
      <c r="O67" s="208"/>
      <c r="P67" s="208"/>
      <c r="Q67" s="208"/>
      <c r="R67" s="208"/>
      <c r="S67" s="208"/>
      <c r="T67" s="208"/>
      <c r="U67" s="208"/>
      <c r="V67" s="208"/>
      <c r="W67" s="208"/>
      <c r="X67" s="208"/>
      <c r="Y67" s="208"/>
      <c r="Z67" s="208"/>
    </row>
    <row r="68" spans="1:26">
      <c r="A68" s="242"/>
      <c r="B68" s="242"/>
      <c r="C68" s="242"/>
      <c r="D68" s="242"/>
      <c r="E68" s="242"/>
      <c r="F68" s="242"/>
      <c r="G68" s="208"/>
      <c r="H68" s="208"/>
      <c r="I68" s="208"/>
      <c r="J68" s="208"/>
      <c r="K68" s="208"/>
      <c r="L68" s="208"/>
      <c r="M68" s="208"/>
      <c r="N68" s="208"/>
      <c r="O68" s="208"/>
      <c r="P68" s="208"/>
      <c r="Q68" s="208"/>
      <c r="R68" s="208"/>
      <c r="S68" s="208"/>
      <c r="T68" s="208"/>
      <c r="U68" s="208"/>
      <c r="V68" s="208"/>
      <c r="W68" s="208"/>
      <c r="X68" s="208"/>
      <c r="Y68" s="208"/>
      <c r="Z68" s="208"/>
    </row>
    <row r="69" spans="1:26">
      <c r="A69" s="242"/>
      <c r="B69" s="242"/>
      <c r="C69" s="242"/>
      <c r="D69" s="242"/>
      <c r="E69" s="242"/>
      <c r="F69" s="242"/>
      <c r="G69" s="208"/>
      <c r="H69" s="208"/>
      <c r="I69" s="208"/>
      <c r="J69" s="208"/>
      <c r="K69" s="208"/>
      <c r="L69" s="208"/>
      <c r="M69" s="208"/>
      <c r="N69" s="208"/>
      <c r="O69" s="208"/>
      <c r="P69" s="208"/>
      <c r="Q69" s="208"/>
      <c r="R69" s="208"/>
      <c r="S69" s="208"/>
      <c r="T69" s="208"/>
      <c r="U69" s="208"/>
      <c r="V69" s="208"/>
      <c r="W69" s="208"/>
      <c r="X69" s="208"/>
      <c r="Y69" s="208"/>
      <c r="Z69" s="208"/>
    </row>
    <row r="70" spans="1:26">
      <c r="A70" s="242"/>
      <c r="B70" s="242"/>
      <c r="C70" s="242"/>
      <c r="D70" s="242"/>
      <c r="E70" s="242"/>
      <c r="F70" s="242"/>
      <c r="G70" s="208"/>
      <c r="H70" s="208"/>
      <c r="I70" s="208"/>
      <c r="J70" s="208"/>
      <c r="K70" s="208"/>
      <c r="L70" s="208"/>
      <c r="M70" s="208"/>
      <c r="N70" s="208"/>
      <c r="O70" s="208"/>
      <c r="P70" s="208"/>
      <c r="Q70" s="208"/>
      <c r="R70" s="208"/>
      <c r="S70" s="208"/>
      <c r="T70" s="208"/>
      <c r="U70" s="208"/>
      <c r="V70" s="208"/>
      <c r="W70" s="208"/>
      <c r="X70" s="208"/>
      <c r="Y70" s="208"/>
      <c r="Z70" s="208"/>
    </row>
    <row r="71" spans="1:26">
      <c r="A71" s="242"/>
      <c r="B71" s="242"/>
      <c r="C71" s="242"/>
      <c r="D71" s="242"/>
      <c r="E71" s="242"/>
      <c r="F71" s="242"/>
      <c r="G71" s="208"/>
      <c r="H71" s="208"/>
      <c r="I71" s="208"/>
      <c r="J71" s="208"/>
      <c r="K71" s="208"/>
      <c r="L71" s="208"/>
      <c r="M71" s="208"/>
      <c r="N71" s="208"/>
      <c r="O71" s="208"/>
      <c r="P71" s="208"/>
      <c r="Q71" s="208"/>
      <c r="R71" s="208"/>
      <c r="S71" s="208"/>
      <c r="T71" s="208"/>
      <c r="U71" s="208"/>
      <c r="V71" s="208"/>
      <c r="W71" s="208"/>
      <c r="X71" s="208"/>
      <c r="Y71" s="208"/>
      <c r="Z71" s="208"/>
    </row>
    <row r="72" spans="1:26">
      <c r="A72" s="242"/>
      <c r="B72" s="242"/>
      <c r="C72" s="242"/>
      <c r="D72" s="242"/>
      <c r="E72" s="242"/>
      <c r="F72" s="242"/>
      <c r="G72" s="208"/>
      <c r="H72" s="208"/>
      <c r="I72" s="208"/>
      <c r="J72" s="208"/>
      <c r="K72" s="208"/>
      <c r="L72" s="208"/>
      <c r="M72" s="208"/>
      <c r="N72" s="208"/>
      <c r="O72" s="208"/>
      <c r="P72" s="208"/>
      <c r="Q72" s="208"/>
      <c r="R72" s="208"/>
      <c r="S72" s="208"/>
      <c r="T72" s="208"/>
      <c r="U72" s="208"/>
      <c r="V72" s="208"/>
      <c r="W72" s="208"/>
      <c r="X72" s="208"/>
      <c r="Y72" s="208"/>
      <c r="Z72" s="208"/>
    </row>
    <row r="73" spans="1:26">
      <c r="A73" s="242"/>
      <c r="B73" s="242"/>
      <c r="C73" s="242"/>
      <c r="D73" s="242"/>
      <c r="E73" s="242"/>
      <c r="F73" s="242"/>
      <c r="G73" s="208"/>
      <c r="H73" s="208"/>
      <c r="I73" s="208"/>
      <c r="J73" s="208"/>
      <c r="K73" s="208"/>
      <c r="L73" s="208"/>
      <c r="M73" s="208"/>
      <c r="N73" s="208"/>
      <c r="O73" s="208"/>
      <c r="P73" s="208"/>
      <c r="Q73" s="208"/>
      <c r="R73" s="208"/>
      <c r="S73" s="208"/>
      <c r="T73" s="208"/>
      <c r="U73" s="208"/>
      <c r="V73" s="208"/>
      <c r="W73" s="208"/>
      <c r="X73" s="208"/>
      <c r="Y73" s="208"/>
      <c r="Z73" s="208"/>
    </row>
    <row r="74" spans="1:26">
      <c r="A74" s="242"/>
      <c r="B74" s="242"/>
      <c r="C74" s="242"/>
      <c r="D74" s="242"/>
      <c r="E74" s="242"/>
      <c r="F74" s="242"/>
      <c r="G74" s="208"/>
      <c r="H74" s="208"/>
      <c r="I74" s="208"/>
      <c r="J74" s="208"/>
      <c r="K74" s="208"/>
      <c r="L74" s="208"/>
      <c r="M74" s="208"/>
      <c r="N74" s="208"/>
      <c r="O74" s="208"/>
      <c r="P74" s="208"/>
      <c r="Q74" s="208"/>
      <c r="R74" s="208"/>
      <c r="S74" s="208"/>
      <c r="T74" s="208"/>
      <c r="U74" s="208"/>
      <c r="V74" s="208"/>
      <c r="W74" s="208"/>
      <c r="X74" s="208"/>
      <c r="Y74" s="208"/>
      <c r="Z74" s="208"/>
    </row>
    <row r="75" spans="1:26">
      <c r="A75" s="242"/>
      <c r="B75" s="242"/>
      <c r="C75" s="242"/>
      <c r="D75" s="242"/>
      <c r="E75" s="242"/>
      <c r="F75" s="242"/>
      <c r="G75" s="208"/>
      <c r="H75" s="208"/>
      <c r="I75" s="208"/>
      <c r="J75" s="208"/>
      <c r="K75" s="208"/>
      <c r="L75" s="208"/>
      <c r="M75" s="208"/>
      <c r="N75" s="208"/>
      <c r="O75" s="208"/>
      <c r="P75" s="208"/>
      <c r="Q75" s="208"/>
      <c r="R75" s="208"/>
      <c r="S75" s="208"/>
      <c r="T75" s="208"/>
      <c r="U75" s="208"/>
      <c r="V75" s="208"/>
      <c r="W75" s="208"/>
      <c r="X75" s="208"/>
      <c r="Y75" s="208"/>
      <c r="Z75" s="208"/>
    </row>
    <row r="76" spans="1:26">
      <c r="A76" s="242"/>
      <c r="B76" s="242"/>
      <c r="C76" s="242"/>
      <c r="D76" s="242"/>
      <c r="E76" s="242"/>
      <c r="F76" s="242"/>
      <c r="G76" s="208"/>
      <c r="H76" s="208"/>
      <c r="I76" s="208"/>
      <c r="J76" s="208"/>
      <c r="K76" s="208"/>
      <c r="L76" s="208"/>
      <c r="M76" s="208"/>
      <c r="N76" s="208"/>
      <c r="O76" s="208"/>
      <c r="P76" s="208"/>
      <c r="Q76" s="208"/>
      <c r="R76" s="208"/>
      <c r="S76" s="208"/>
      <c r="T76" s="208"/>
      <c r="U76" s="208"/>
      <c r="V76" s="208"/>
      <c r="W76" s="208"/>
      <c r="X76" s="208"/>
      <c r="Y76" s="208"/>
      <c r="Z76" s="208"/>
    </row>
    <row r="77" spans="1:26">
      <c r="A77" s="242"/>
      <c r="B77" s="242"/>
      <c r="C77" s="242"/>
      <c r="D77" s="242"/>
      <c r="E77" s="242"/>
      <c r="F77" s="242"/>
      <c r="G77" s="208"/>
      <c r="H77" s="208"/>
      <c r="I77" s="208"/>
      <c r="J77" s="208"/>
      <c r="K77" s="208"/>
      <c r="L77" s="208"/>
      <c r="M77" s="208"/>
      <c r="N77" s="208"/>
      <c r="O77" s="208"/>
      <c r="P77" s="208"/>
      <c r="Q77" s="208"/>
      <c r="R77" s="208"/>
      <c r="S77" s="208"/>
      <c r="T77" s="208"/>
      <c r="U77" s="208"/>
      <c r="V77" s="208"/>
      <c r="W77" s="208"/>
      <c r="X77" s="208"/>
      <c r="Y77" s="208"/>
      <c r="Z77" s="208"/>
    </row>
    <row r="78" spans="1:26">
      <c r="A78" s="242"/>
      <c r="B78" s="242"/>
      <c r="C78" s="242"/>
      <c r="D78" s="242"/>
      <c r="E78" s="242"/>
      <c r="F78" s="242"/>
      <c r="G78" s="208"/>
      <c r="H78" s="208"/>
      <c r="I78" s="208"/>
      <c r="J78" s="208"/>
      <c r="K78" s="208"/>
      <c r="L78" s="208"/>
      <c r="M78" s="208"/>
      <c r="N78" s="208"/>
      <c r="O78" s="208"/>
      <c r="P78" s="208"/>
      <c r="Q78" s="208"/>
      <c r="R78" s="208"/>
      <c r="S78" s="208"/>
      <c r="T78" s="208"/>
      <c r="U78" s="208"/>
      <c r="V78" s="208"/>
      <c r="W78" s="208"/>
      <c r="X78" s="208"/>
      <c r="Y78" s="208"/>
      <c r="Z78" s="208"/>
    </row>
    <row r="79" spans="1:26">
      <c r="A79" s="242"/>
      <c r="B79" s="242"/>
      <c r="C79" s="242"/>
      <c r="D79" s="242"/>
      <c r="E79" s="242"/>
      <c r="F79" s="242"/>
      <c r="G79" s="208"/>
      <c r="H79" s="208"/>
      <c r="I79" s="208"/>
      <c r="J79" s="208"/>
      <c r="K79" s="208"/>
      <c r="L79" s="208"/>
      <c r="M79" s="208"/>
      <c r="N79" s="208"/>
      <c r="O79" s="208"/>
      <c r="P79" s="208"/>
      <c r="Q79" s="208"/>
      <c r="R79" s="208"/>
      <c r="S79" s="208"/>
      <c r="T79" s="208"/>
      <c r="U79" s="208"/>
      <c r="V79" s="208"/>
      <c r="W79" s="208"/>
      <c r="X79" s="208"/>
      <c r="Y79" s="208"/>
      <c r="Z79" s="208"/>
    </row>
    <row r="80" spans="1:26">
      <c r="A80" s="242"/>
      <c r="B80" s="242"/>
      <c r="C80" s="242"/>
      <c r="D80" s="242"/>
      <c r="E80" s="242"/>
      <c r="F80" s="242"/>
      <c r="G80" s="208"/>
      <c r="H80" s="208"/>
      <c r="I80" s="208"/>
      <c r="J80" s="208"/>
      <c r="K80" s="208"/>
      <c r="L80" s="208"/>
      <c r="M80" s="208"/>
      <c r="N80" s="208"/>
      <c r="O80" s="208"/>
      <c r="P80" s="208"/>
      <c r="Q80" s="208"/>
      <c r="R80" s="208"/>
      <c r="S80" s="208"/>
      <c r="T80" s="208"/>
      <c r="U80" s="208"/>
      <c r="V80" s="208"/>
      <c r="W80" s="208"/>
      <c r="X80" s="208"/>
      <c r="Y80" s="208"/>
      <c r="Z80" s="208"/>
    </row>
    <row r="81" spans="1:26">
      <c r="A81" s="242"/>
      <c r="B81" s="242"/>
      <c r="C81" s="242"/>
      <c r="D81" s="242"/>
      <c r="E81" s="242"/>
      <c r="F81" s="242"/>
      <c r="G81" s="208"/>
      <c r="H81" s="208"/>
      <c r="I81" s="208"/>
      <c r="J81" s="208"/>
      <c r="K81" s="208"/>
      <c r="L81" s="208"/>
      <c r="M81" s="208"/>
      <c r="N81" s="208"/>
      <c r="O81" s="208"/>
      <c r="P81" s="208"/>
      <c r="Q81" s="208"/>
      <c r="R81" s="208"/>
      <c r="S81" s="208"/>
      <c r="T81" s="208"/>
      <c r="U81" s="208"/>
      <c r="V81" s="208"/>
      <c r="W81" s="208"/>
      <c r="X81" s="208"/>
      <c r="Y81" s="208"/>
      <c r="Z81" s="208"/>
    </row>
    <row r="82" spans="1:26">
      <c r="A82" s="242"/>
      <c r="B82" s="242"/>
      <c r="C82" s="242"/>
      <c r="D82" s="242"/>
      <c r="E82" s="242"/>
      <c r="F82" s="242"/>
      <c r="G82" s="208"/>
      <c r="H82" s="208"/>
      <c r="I82" s="208"/>
      <c r="J82" s="208"/>
      <c r="K82" s="208"/>
      <c r="L82" s="208"/>
      <c r="M82" s="208"/>
      <c r="N82" s="208"/>
      <c r="O82" s="208"/>
      <c r="P82" s="208"/>
      <c r="Q82" s="208"/>
      <c r="R82" s="208"/>
      <c r="S82" s="208"/>
      <c r="T82" s="208"/>
      <c r="U82" s="208"/>
      <c r="V82" s="208"/>
      <c r="W82" s="208"/>
      <c r="X82" s="208"/>
      <c r="Y82" s="208"/>
      <c r="Z82" s="208"/>
    </row>
    <row r="83" spans="1:26">
      <c r="A83" s="242"/>
      <c r="B83" s="242"/>
      <c r="C83" s="242"/>
      <c r="D83" s="242"/>
      <c r="E83" s="242"/>
      <c r="F83" s="242"/>
      <c r="G83" s="208"/>
      <c r="H83" s="208"/>
      <c r="I83" s="208"/>
      <c r="J83" s="208"/>
      <c r="K83" s="208"/>
      <c r="L83" s="208"/>
      <c r="M83" s="208"/>
      <c r="N83" s="208"/>
      <c r="O83" s="208"/>
      <c r="P83" s="208"/>
      <c r="Q83" s="208"/>
      <c r="R83" s="208"/>
      <c r="S83" s="208"/>
      <c r="T83" s="208"/>
      <c r="U83" s="208"/>
      <c r="V83" s="208"/>
      <c r="W83" s="208"/>
      <c r="X83" s="208"/>
      <c r="Y83" s="208"/>
      <c r="Z83" s="208"/>
    </row>
    <row r="84" spans="1:26">
      <c r="A84" s="242"/>
      <c r="B84" s="242"/>
      <c r="C84" s="242"/>
      <c r="D84" s="242"/>
      <c r="E84" s="242"/>
      <c r="F84" s="242"/>
      <c r="G84" s="208"/>
      <c r="H84" s="208"/>
      <c r="I84" s="208"/>
      <c r="J84" s="208"/>
      <c r="K84" s="208"/>
      <c r="L84" s="208"/>
      <c r="M84" s="208"/>
      <c r="N84" s="208"/>
      <c r="O84" s="208"/>
      <c r="P84" s="208"/>
      <c r="Q84" s="208"/>
      <c r="R84" s="208"/>
      <c r="S84" s="208"/>
      <c r="T84" s="208"/>
      <c r="U84" s="208"/>
      <c r="V84" s="208"/>
      <c r="W84" s="208"/>
      <c r="X84" s="208"/>
      <c r="Y84" s="208"/>
      <c r="Z84" s="208"/>
    </row>
    <row r="85" spans="1:26">
      <c r="A85" s="242"/>
      <c r="B85" s="242"/>
      <c r="C85" s="242"/>
      <c r="D85" s="242"/>
      <c r="E85" s="242"/>
      <c r="F85" s="242"/>
      <c r="G85" s="208"/>
      <c r="H85" s="208"/>
      <c r="I85" s="208"/>
      <c r="J85" s="208"/>
      <c r="K85" s="208"/>
      <c r="L85" s="208"/>
      <c r="M85" s="208"/>
      <c r="N85" s="208"/>
      <c r="O85" s="208"/>
      <c r="P85" s="208"/>
      <c r="Q85" s="208"/>
      <c r="R85" s="208"/>
      <c r="S85" s="208"/>
      <c r="T85" s="208"/>
      <c r="U85" s="208"/>
      <c r="V85" s="208"/>
      <c r="W85" s="208"/>
      <c r="X85" s="208"/>
      <c r="Y85" s="208"/>
      <c r="Z85" s="208"/>
    </row>
    <row r="86" spans="1:26">
      <c r="A86" s="242"/>
      <c r="B86" s="242"/>
      <c r="C86" s="242"/>
      <c r="D86" s="242"/>
      <c r="E86" s="242"/>
      <c r="F86" s="242"/>
      <c r="G86" s="208"/>
      <c r="H86" s="208"/>
      <c r="I86" s="208"/>
      <c r="J86" s="208"/>
      <c r="K86" s="208"/>
      <c r="L86" s="208"/>
      <c r="M86" s="208"/>
      <c r="N86" s="208"/>
      <c r="O86" s="208"/>
      <c r="P86" s="208"/>
      <c r="Q86" s="208"/>
      <c r="R86" s="208"/>
      <c r="S86" s="208"/>
      <c r="T86" s="208"/>
      <c r="U86" s="208"/>
      <c r="V86" s="208"/>
      <c r="W86" s="208"/>
      <c r="X86" s="208"/>
      <c r="Y86" s="208"/>
      <c r="Z86" s="208"/>
    </row>
    <row r="87" spans="1:26">
      <c r="A87" s="242"/>
      <c r="B87" s="242"/>
      <c r="C87" s="242"/>
      <c r="D87" s="242"/>
      <c r="E87" s="242"/>
      <c r="F87" s="242"/>
      <c r="G87" s="208"/>
      <c r="H87" s="208"/>
      <c r="I87" s="208"/>
      <c r="J87" s="208"/>
      <c r="K87" s="208"/>
      <c r="L87" s="208"/>
      <c r="M87" s="208"/>
      <c r="N87" s="208"/>
      <c r="O87" s="208"/>
      <c r="P87" s="208"/>
      <c r="Q87" s="208"/>
      <c r="R87" s="208"/>
      <c r="S87" s="208"/>
      <c r="T87" s="208"/>
      <c r="U87" s="208"/>
      <c r="V87" s="208"/>
      <c r="W87" s="208"/>
      <c r="X87" s="208"/>
      <c r="Y87" s="208"/>
      <c r="Z87" s="208"/>
    </row>
    <row r="88" spans="1:26">
      <c r="A88" s="242"/>
      <c r="B88" s="242"/>
      <c r="C88" s="242"/>
      <c r="D88" s="242"/>
      <c r="E88" s="242"/>
      <c r="F88" s="242"/>
      <c r="G88" s="208"/>
      <c r="H88" s="208"/>
      <c r="I88" s="208"/>
      <c r="J88" s="208"/>
      <c r="K88" s="208"/>
      <c r="L88" s="208"/>
      <c r="M88" s="208"/>
      <c r="N88" s="208"/>
      <c r="O88" s="208"/>
      <c r="P88" s="208"/>
      <c r="Q88" s="208"/>
      <c r="R88" s="208"/>
      <c r="S88" s="208"/>
      <c r="T88" s="208"/>
      <c r="U88" s="208"/>
      <c r="V88" s="208"/>
      <c r="W88" s="208"/>
      <c r="X88" s="208"/>
      <c r="Y88" s="208"/>
      <c r="Z88" s="208"/>
    </row>
    <row r="89" spans="1:26">
      <c r="A89" s="242"/>
      <c r="B89" s="242"/>
      <c r="C89" s="242"/>
      <c r="D89" s="242"/>
      <c r="E89" s="242"/>
      <c r="F89" s="242"/>
      <c r="G89" s="208"/>
      <c r="H89" s="208"/>
      <c r="I89" s="208"/>
      <c r="J89" s="208"/>
      <c r="K89" s="208"/>
      <c r="L89" s="208"/>
      <c r="M89" s="208"/>
      <c r="N89" s="208"/>
      <c r="O89" s="208"/>
      <c r="P89" s="208"/>
      <c r="Q89" s="208"/>
      <c r="R89" s="208"/>
      <c r="S89" s="208"/>
      <c r="T89" s="208"/>
      <c r="U89" s="208"/>
      <c r="V89" s="208"/>
      <c r="W89" s="208"/>
      <c r="X89" s="208"/>
      <c r="Y89" s="208"/>
      <c r="Z89" s="208"/>
    </row>
    <row r="90" spans="1:26">
      <c r="A90" s="242"/>
      <c r="B90" s="242"/>
      <c r="C90" s="242"/>
      <c r="D90" s="242"/>
      <c r="E90" s="242"/>
      <c r="F90" s="242"/>
      <c r="G90" s="208"/>
      <c r="H90" s="208"/>
      <c r="I90" s="208"/>
      <c r="J90" s="208"/>
      <c r="K90" s="208"/>
      <c r="L90" s="208"/>
      <c r="M90" s="208"/>
      <c r="N90" s="208"/>
      <c r="O90" s="208"/>
      <c r="P90" s="208"/>
      <c r="Q90" s="208"/>
      <c r="R90" s="208"/>
      <c r="S90" s="208"/>
      <c r="T90" s="208"/>
      <c r="U90" s="208"/>
      <c r="V90" s="208"/>
      <c r="W90" s="208"/>
      <c r="X90" s="208"/>
      <c r="Y90" s="208"/>
      <c r="Z90" s="208"/>
    </row>
    <row r="91" spans="1:26">
      <c r="A91" s="242"/>
      <c r="B91" s="242"/>
      <c r="C91" s="242"/>
      <c r="D91" s="242"/>
      <c r="E91" s="242"/>
      <c r="F91" s="242"/>
      <c r="G91" s="208"/>
      <c r="H91" s="208"/>
      <c r="I91" s="208"/>
      <c r="J91" s="208"/>
      <c r="K91" s="208"/>
      <c r="L91" s="208"/>
      <c r="M91" s="208"/>
      <c r="N91" s="208"/>
      <c r="O91" s="208"/>
      <c r="P91" s="208"/>
      <c r="Q91" s="208"/>
      <c r="R91" s="208"/>
      <c r="S91" s="208"/>
      <c r="T91" s="208"/>
      <c r="U91" s="208"/>
      <c r="V91" s="208"/>
      <c r="W91" s="208"/>
      <c r="X91" s="208"/>
      <c r="Y91" s="208"/>
      <c r="Z91" s="208"/>
    </row>
    <row r="92" spans="1:26">
      <c r="A92" s="242"/>
      <c r="B92" s="242"/>
      <c r="C92" s="242"/>
      <c r="D92" s="242"/>
      <c r="E92" s="242"/>
      <c r="F92" s="242"/>
      <c r="G92" s="208"/>
      <c r="H92" s="208"/>
      <c r="I92" s="208"/>
      <c r="J92" s="208"/>
      <c r="K92" s="208"/>
      <c r="L92" s="208"/>
      <c r="M92" s="208"/>
      <c r="N92" s="208"/>
      <c r="O92" s="208"/>
      <c r="P92" s="208"/>
      <c r="Q92" s="208"/>
      <c r="R92" s="208"/>
      <c r="S92" s="208"/>
      <c r="T92" s="208"/>
      <c r="U92" s="208"/>
      <c r="V92" s="208"/>
      <c r="W92" s="208"/>
      <c r="X92" s="208"/>
      <c r="Y92" s="208"/>
      <c r="Z92" s="208"/>
    </row>
    <row r="93" spans="1:26">
      <c r="A93" s="242"/>
      <c r="B93" s="242"/>
      <c r="C93" s="242"/>
      <c r="D93" s="242"/>
      <c r="E93" s="242"/>
      <c r="F93" s="242"/>
      <c r="G93" s="208"/>
      <c r="H93" s="208"/>
      <c r="I93" s="208"/>
      <c r="J93" s="208"/>
      <c r="K93" s="208"/>
      <c r="L93" s="208"/>
      <c r="M93" s="208"/>
      <c r="N93" s="208"/>
      <c r="O93" s="208"/>
      <c r="P93" s="208"/>
      <c r="Q93" s="208"/>
      <c r="R93" s="208"/>
      <c r="S93" s="208"/>
      <c r="T93" s="208"/>
      <c r="U93" s="208"/>
      <c r="V93" s="208"/>
      <c r="W93" s="208"/>
      <c r="X93" s="208"/>
      <c r="Y93" s="208"/>
      <c r="Z93" s="208"/>
    </row>
    <row r="94" spans="1:26">
      <c r="A94" s="242"/>
      <c r="B94" s="242"/>
      <c r="C94" s="242"/>
      <c r="D94" s="242"/>
      <c r="E94" s="242"/>
      <c r="F94" s="242"/>
      <c r="G94" s="208"/>
      <c r="H94" s="208"/>
      <c r="I94" s="208"/>
      <c r="J94" s="208"/>
      <c r="K94" s="208"/>
      <c r="L94" s="208"/>
      <c r="M94" s="208"/>
      <c r="N94" s="208"/>
      <c r="O94" s="208"/>
      <c r="P94" s="208"/>
      <c r="Q94" s="208"/>
      <c r="R94" s="208"/>
      <c r="S94" s="208"/>
      <c r="T94" s="208"/>
      <c r="U94" s="208"/>
      <c r="V94" s="208"/>
      <c r="W94" s="208"/>
      <c r="X94" s="208"/>
      <c r="Y94" s="208"/>
      <c r="Z94" s="208"/>
    </row>
    <row r="95" spans="1:26">
      <c r="A95" s="242"/>
      <c r="B95" s="242"/>
      <c r="C95" s="242"/>
      <c r="D95" s="242"/>
      <c r="E95" s="242"/>
      <c r="F95" s="242"/>
      <c r="G95" s="208"/>
      <c r="H95" s="208"/>
      <c r="I95" s="208"/>
      <c r="J95" s="208"/>
      <c r="K95" s="208"/>
      <c r="L95" s="208"/>
      <c r="M95" s="208"/>
      <c r="N95" s="208"/>
      <c r="O95" s="208"/>
      <c r="P95" s="208"/>
      <c r="Q95" s="208"/>
      <c r="R95" s="208"/>
      <c r="S95" s="208"/>
      <c r="T95" s="208"/>
      <c r="U95" s="208"/>
      <c r="V95" s="208"/>
      <c r="W95" s="208"/>
      <c r="X95" s="208"/>
      <c r="Y95" s="208"/>
      <c r="Z95" s="208"/>
    </row>
    <row r="96" spans="1:26">
      <c r="A96" s="242"/>
      <c r="B96" s="242"/>
      <c r="C96" s="242"/>
      <c r="D96" s="242"/>
      <c r="E96" s="242"/>
      <c r="F96" s="242"/>
      <c r="G96" s="208"/>
      <c r="H96" s="208"/>
      <c r="I96" s="208"/>
      <c r="J96" s="208"/>
      <c r="K96" s="208"/>
      <c r="L96" s="208"/>
      <c r="M96" s="208"/>
      <c r="N96" s="208"/>
      <c r="O96" s="208"/>
      <c r="P96" s="208"/>
      <c r="Q96" s="208"/>
      <c r="R96" s="208"/>
      <c r="S96" s="208"/>
      <c r="T96" s="208"/>
      <c r="U96" s="208"/>
      <c r="V96" s="208"/>
      <c r="W96" s="208"/>
      <c r="X96" s="208"/>
      <c r="Y96" s="208"/>
      <c r="Z96" s="208"/>
    </row>
    <row r="97" spans="1:26">
      <c r="A97" s="242"/>
      <c r="B97" s="242"/>
      <c r="C97" s="242"/>
      <c r="D97" s="242"/>
      <c r="E97" s="242"/>
      <c r="F97" s="242"/>
      <c r="G97" s="208"/>
      <c r="H97" s="208"/>
      <c r="I97" s="208"/>
      <c r="J97" s="208"/>
      <c r="K97" s="208"/>
      <c r="L97" s="208"/>
      <c r="M97" s="208"/>
      <c r="N97" s="208"/>
      <c r="O97" s="208"/>
      <c r="P97" s="208"/>
      <c r="Q97" s="208"/>
      <c r="R97" s="208"/>
      <c r="S97" s="208"/>
      <c r="T97" s="208"/>
      <c r="U97" s="208"/>
      <c r="V97" s="208"/>
      <c r="W97" s="208"/>
      <c r="X97" s="208"/>
      <c r="Y97" s="208"/>
      <c r="Z97" s="208"/>
    </row>
    <row r="98" spans="1:26">
      <c r="A98" s="242"/>
      <c r="B98" s="242"/>
      <c r="C98" s="242"/>
      <c r="D98" s="242"/>
      <c r="E98" s="242"/>
      <c r="F98" s="242"/>
      <c r="G98" s="208"/>
      <c r="H98" s="208"/>
      <c r="I98" s="208"/>
      <c r="J98" s="208"/>
      <c r="K98" s="208"/>
      <c r="L98" s="208"/>
      <c r="M98" s="208"/>
      <c r="N98" s="208"/>
      <c r="O98" s="208"/>
      <c r="P98" s="208"/>
      <c r="Q98" s="208"/>
      <c r="R98" s="208"/>
      <c r="S98" s="208"/>
      <c r="T98" s="208"/>
      <c r="U98" s="208"/>
      <c r="V98" s="208"/>
      <c r="W98" s="208"/>
      <c r="X98" s="208"/>
      <c r="Y98" s="208"/>
      <c r="Z98" s="208"/>
    </row>
    <row r="99" spans="1:26">
      <c r="A99" s="242"/>
      <c r="B99" s="242"/>
      <c r="C99" s="242"/>
      <c r="D99" s="242"/>
      <c r="E99" s="242"/>
      <c r="F99" s="242"/>
      <c r="G99" s="208"/>
      <c r="H99" s="208"/>
      <c r="I99" s="208"/>
      <c r="J99" s="208"/>
      <c r="K99" s="208"/>
      <c r="L99" s="208"/>
      <c r="M99" s="208"/>
      <c r="N99" s="208"/>
      <c r="O99" s="208"/>
      <c r="P99" s="208"/>
      <c r="Q99" s="208"/>
      <c r="R99" s="208"/>
      <c r="S99" s="208"/>
      <c r="T99" s="208"/>
      <c r="U99" s="208"/>
      <c r="V99" s="208"/>
      <c r="W99" s="208"/>
      <c r="X99" s="208"/>
      <c r="Y99" s="208"/>
      <c r="Z99" s="208"/>
    </row>
    <row r="100" spans="1:26">
      <c r="A100" s="242"/>
      <c r="B100" s="242"/>
      <c r="C100" s="242"/>
      <c r="D100" s="242"/>
      <c r="E100" s="242"/>
      <c r="F100" s="242"/>
      <c r="G100" s="208"/>
      <c r="H100" s="208"/>
      <c r="I100" s="208"/>
      <c r="J100" s="208"/>
      <c r="K100" s="208"/>
      <c r="L100" s="208"/>
      <c r="M100" s="208"/>
      <c r="N100" s="208"/>
      <c r="O100" s="208"/>
      <c r="P100" s="208"/>
      <c r="Q100" s="208"/>
      <c r="R100" s="208"/>
      <c r="S100" s="208"/>
      <c r="T100" s="208"/>
      <c r="U100" s="208"/>
      <c r="V100" s="208"/>
      <c r="W100" s="208"/>
      <c r="X100" s="208"/>
      <c r="Y100" s="208"/>
      <c r="Z100" s="208"/>
    </row>
    <row r="101" spans="1:26">
      <c r="A101" s="242"/>
      <c r="B101" s="242"/>
      <c r="C101" s="242"/>
      <c r="D101" s="242"/>
      <c r="E101" s="242"/>
      <c r="F101" s="242"/>
      <c r="G101" s="208"/>
      <c r="H101" s="208"/>
      <c r="I101" s="208"/>
      <c r="J101" s="208"/>
      <c r="K101" s="208"/>
      <c r="L101" s="208"/>
      <c r="M101" s="208"/>
      <c r="N101" s="208"/>
      <c r="O101" s="208"/>
      <c r="P101" s="208"/>
      <c r="Q101" s="208"/>
      <c r="R101" s="208"/>
      <c r="S101" s="208"/>
      <c r="T101" s="208"/>
      <c r="U101" s="208"/>
      <c r="V101" s="208"/>
      <c r="W101" s="208"/>
      <c r="X101" s="208"/>
      <c r="Y101" s="208"/>
      <c r="Z101" s="208"/>
    </row>
    <row r="102" spans="1:26">
      <c r="A102" s="242"/>
      <c r="B102" s="242"/>
      <c r="C102" s="242"/>
      <c r="D102" s="242"/>
      <c r="E102" s="242"/>
      <c r="F102" s="242"/>
      <c r="G102" s="208"/>
      <c r="H102" s="208"/>
      <c r="I102" s="208"/>
      <c r="J102" s="208"/>
      <c r="K102" s="208"/>
      <c r="L102" s="208"/>
      <c r="M102" s="208"/>
      <c r="N102" s="208"/>
      <c r="O102" s="208"/>
      <c r="P102" s="208"/>
      <c r="Q102" s="208"/>
      <c r="R102" s="208"/>
      <c r="S102" s="208"/>
      <c r="T102" s="208"/>
      <c r="U102" s="208"/>
      <c r="V102" s="208"/>
      <c r="W102" s="208"/>
      <c r="X102" s="208"/>
      <c r="Y102" s="208"/>
      <c r="Z102" s="208"/>
    </row>
    <row r="103" spans="1:26">
      <c r="A103" s="242"/>
      <c r="B103" s="242"/>
      <c r="C103" s="242"/>
      <c r="D103" s="242"/>
      <c r="E103" s="242"/>
      <c r="F103" s="242"/>
      <c r="G103" s="208"/>
      <c r="H103" s="208"/>
      <c r="I103" s="208"/>
      <c r="J103" s="208"/>
      <c r="K103" s="208"/>
      <c r="L103" s="208"/>
      <c r="M103" s="208"/>
      <c r="N103" s="208"/>
      <c r="O103" s="208"/>
      <c r="P103" s="208"/>
      <c r="Q103" s="208"/>
      <c r="R103" s="208"/>
      <c r="S103" s="208"/>
      <c r="T103" s="208"/>
      <c r="U103" s="208"/>
      <c r="V103" s="208"/>
      <c r="W103" s="208"/>
      <c r="X103" s="208"/>
      <c r="Y103" s="208"/>
      <c r="Z103" s="208"/>
    </row>
    <row r="104" spans="1:26">
      <c r="A104" s="242"/>
      <c r="B104" s="242"/>
      <c r="C104" s="242"/>
      <c r="D104" s="242"/>
      <c r="E104" s="242"/>
      <c r="F104" s="242"/>
      <c r="G104" s="208"/>
      <c r="H104" s="208"/>
      <c r="I104" s="208"/>
      <c r="J104" s="208"/>
      <c r="K104" s="208"/>
      <c r="L104" s="208"/>
      <c r="M104" s="208"/>
      <c r="N104" s="208"/>
      <c r="O104" s="208"/>
      <c r="P104" s="208"/>
      <c r="Q104" s="208"/>
      <c r="R104" s="208"/>
      <c r="S104" s="208"/>
      <c r="T104" s="208"/>
      <c r="U104" s="208"/>
      <c r="V104" s="208"/>
      <c r="W104" s="208"/>
      <c r="X104" s="208"/>
      <c r="Y104" s="85"/>
      <c r="Z104" s="85"/>
    </row>
    <row r="105" spans="1:26">
      <c r="A105" s="242"/>
      <c r="B105" s="242"/>
      <c r="C105" s="242"/>
      <c r="D105" s="242"/>
      <c r="E105" s="242"/>
      <c r="F105" s="242"/>
      <c r="G105" s="208"/>
      <c r="H105" s="208"/>
      <c r="I105" s="208"/>
      <c r="J105" s="208"/>
      <c r="K105" s="208"/>
      <c r="L105" s="208"/>
      <c r="M105" s="208"/>
      <c r="N105" s="208"/>
      <c r="O105" s="208"/>
      <c r="P105" s="208"/>
      <c r="Q105" s="208"/>
      <c r="R105" s="208"/>
      <c r="S105" s="208"/>
      <c r="T105" s="208"/>
      <c r="U105" s="208"/>
      <c r="V105" s="208"/>
      <c r="W105" s="208"/>
      <c r="X105" s="208"/>
      <c r="Y105" s="85"/>
      <c r="Z105" s="85"/>
    </row>
    <row r="106" spans="1:26">
      <c r="A106" s="242"/>
      <c r="B106" s="242"/>
      <c r="C106" s="242"/>
      <c r="D106" s="242"/>
      <c r="E106" s="242"/>
      <c r="F106" s="242"/>
      <c r="G106" s="208"/>
      <c r="H106" s="208"/>
      <c r="I106" s="208"/>
      <c r="J106" s="208"/>
      <c r="K106" s="208"/>
      <c r="L106" s="208"/>
      <c r="M106" s="208"/>
      <c r="N106" s="208"/>
      <c r="O106" s="208"/>
      <c r="P106" s="208"/>
      <c r="Q106" s="208"/>
      <c r="R106" s="208"/>
      <c r="S106" s="208"/>
      <c r="T106" s="208"/>
      <c r="U106" s="208"/>
      <c r="V106" s="208"/>
      <c r="W106" s="208"/>
      <c r="X106" s="208"/>
      <c r="Y106" s="85"/>
      <c r="Z106" s="85"/>
    </row>
    <row r="107" spans="1:26">
      <c r="A107" s="242"/>
      <c r="B107" s="242"/>
      <c r="C107" s="242"/>
      <c r="D107" s="242"/>
      <c r="E107" s="242"/>
      <c r="F107" s="242"/>
      <c r="G107" s="208"/>
      <c r="H107" s="208"/>
      <c r="I107" s="208"/>
      <c r="J107" s="208"/>
      <c r="K107" s="208"/>
      <c r="L107" s="208"/>
      <c r="M107" s="208"/>
      <c r="N107" s="208"/>
      <c r="O107" s="208"/>
      <c r="P107" s="208"/>
      <c r="Q107" s="208"/>
      <c r="R107" s="208"/>
      <c r="S107" s="208"/>
      <c r="T107" s="208"/>
      <c r="U107" s="208"/>
      <c r="V107" s="208"/>
      <c r="W107" s="208"/>
      <c r="X107" s="208"/>
      <c r="Y107" s="85"/>
      <c r="Z107" s="85"/>
    </row>
    <row r="108" spans="1:26">
      <c r="A108" s="242"/>
      <c r="B108" s="242"/>
      <c r="C108" s="242"/>
      <c r="D108" s="242"/>
      <c r="E108" s="242"/>
      <c r="F108" s="242"/>
      <c r="G108" s="208"/>
      <c r="H108" s="208"/>
      <c r="I108" s="208"/>
      <c r="J108" s="208"/>
      <c r="K108" s="208"/>
      <c r="L108" s="208"/>
      <c r="M108" s="208"/>
      <c r="N108" s="208"/>
      <c r="O108" s="208"/>
      <c r="P108" s="208"/>
      <c r="Q108" s="208"/>
      <c r="R108" s="208"/>
      <c r="S108" s="208"/>
      <c r="T108" s="208"/>
      <c r="U108" s="208"/>
      <c r="V108" s="208"/>
      <c r="W108" s="208"/>
      <c r="X108" s="208"/>
      <c r="Y108" s="85"/>
      <c r="Z108" s="85"/>
    </row>
    <row r="109" spans="1:26">
      <c r="A109" s="242"/>
      <c r="B109" s="242"/>
      <c r="C109" s="242"/>
      <c r="D109" s="242"/>
      <c r="E109" s="242"/>
      <c r="F109" s="242"/>
      <c r="G109" s="208"/>
      <c r="H109" s="208"/>
      <c r="I109" s="208"/>
      <c r="J109" s="208"/>
      <c r="K109" s="208"/>
      <c r="L109" s="208"/>
      <c r="M109" s="208"/>
      <c r="N109" s="208"/>
      <c r="O109" s="208"/>
      <c r="P109" s="208"/>
      <c r="Q109" s="208"/>
      <c r="R109" s="208"/>
      <c r="S109" s="208"/>
      <c r="T109" s="208"/>
      <c r="U109" s="208"/>
      <c r="V109" s="208"/>
      <c r="W109" s="208"/>
      <c r="X109" s="208"/>
      <c r="Y109" s="85"/>
      <c r="Z109" s="85"/>
    </row>
    <row r="110" spans="1:26">
      <c r="A110" s="242"/>
      <c r="B110" s="242"/>
      <c r="C110" s="242"/>
      <c r="D110" s="242"/>
      <c r="E110" s="242"/>
      <c r="F110" s="242"/>
      <c r="G110" s="208"/>
      <c r="H110" s="208"/>
      <c r="I110" s="208"/>
      <c r="J110" s="208"/>
      <c r="K110" s="208"/>
      <c r="L110" s="208"/>
      <c r="M110" s="208"/>
      <c r="N110" s="208"/>
      <c r="O110" s="208"/>
      <c r="P110" s="208"/>
      <c r="Q110" s="208"/>
      <c r="R110" s="208"/>
      <c r="S110" s="208"/>
      <c r="T110" s="208"/>
      <c r="U110" s="208"/>
      <c r="V110" s="208"/>
      <c r="W110" s="208"/>
      <c r="X110" s="208"/>
      <c r="Y110" s="85"/>
      <c r="Z110" s="85"/>
    </row>
    <row r="111" spans="1:26">
      <c r="A111" s="242"/>
      <c r="B111" s="242"/>
      <c r="C111" s="242"/>
      <c r="D111" s="242"/>
      <c r="E111" s="242"/>
      <c r="F111" s="242"/>
      <c r="G111" s="208"/>
      <c r="H111" s="208"/>
      <c r="I111" s="208"/>
      <c r="J111" s="208"/>
      <c r="K111" s="208"/>
      <c r="L111" s="208"/>
      <c r="M111" s="208"/>
      <c r="N111" s="208"/>
      <c r="O111" s="208"/>
      <c r="P111" s="208"/>
      <c r="Q111" s="208"/>
      <c r="R111" s="208"/>
      <c r="S111" s="208"/>
      <c r="T111" s="208"/>
      <c r="U111" s="208"/>
      <c r="V111" s="208"/>
      <c r="W111" s="208"/>
      <c r="X111" s="208"/>
      <c r="Y111" s="85"/>
      <c r="Z111" s="85"/>
    </row>
    <row r="112" spans="1:26">
      <c r="A112" s="242"/>
      <c r="B112" s="242"/>
      <c r="C112" s="242"/>
      <c r="D112" s="242"/>
      <c r="E112" s="242"/>
      <c r="F112" s="242"/>
      <c r="G112" s="208"/>
      <c r="H112" s="208"/>
      <c r="I112" s="208"/>
      <c r="J112" s="208"/>
      <c r="K112" s="208"/>
      <c r="L112" s="208"/>
      <c r="M112" s="208"/>
      <c r="N112" s="208"/>
      <c r="O112" s="208"/>
      <c r="P112" s="208"/>
      <c r="Q112" s="208"/>
      <c r="R112" s="208"/>
      <c r="S112" s="208"/>
      <c r="T112" s="208"/>
      <c r="U112" s="208"/>
      <c r="V112" s="208"/>
      <c r="W112" s="208"/>
      <c r="X112" s="208"/>
      <c r="Y112" s="85"/>
      <c r="Z112" s="85"/>
    </row>
    <row r="113" spans="1:26">
      <c r="A113" s="242"/>
      <c r="B113" s="242"/>
      <c r="C113" s="242"/>
      <c r="D113" s="242"/>
      <c r="E113" s="242"/>
      <c r="F113" s="242"/>
      <c r="G113" s="208"/>
      <c r="H113" s="208"/>
      <c r="I113" s="208"/>
      <c r="J113" s="208"/>
      <c r="K113" s="208"/>
      <c r="L113" s="208"/>
      <c r="M113" s="208"/>
      <c r="N113" s="208"/>
      <c r="O113" s="208"/>
      <c r="P113" s="208"/>
      <c r="Q113" s="208"/>
      <c r="R113" s="208"/>
      <c r="S113" s="208"/>
      <c r="T113" s="208"/>
      <c r="U113" s="208"/>
      <c r="V113" s="208"/>
      <c r="W113" s="208"/>
      <c r="X113" s="208"/>
      <c r="Y113" s="208"/>
      <c r="Z113" s="208"/>
    </row>
    <row r="114" spans="1:26">
      <c r="A114" s="242"/>
      <c r="B114" s="242"/>
      <c r="C114" s="242"/>
      <c r="D114" s="242"/>
      <c r="E114" s="242"/>
      <c r="F114" s="242"/>
      <c r="G114" s="208"/>
      <c r="H114" s="208"/>
      <c r="I114" s="208"/>
      <c r="J114" s="208"/>
      <c r="K114" s="208"/>
      <c r="L114" s="208"/>
      <c r="M114" s="208"/>
      <c r="N114" s="208"/>
      <c r="O114" s="208"/>
      <c r="P114" s="208"/>
      <c r="Q114" s="208"/>
      <c r="R114" s="208"/>
      <c r="S114" s="208"/>
      <c r="T114" s="208"/>
      <c r="U114" s="208"/>
      <c r="V114" s="208"/>
      <c r="W114" s="208"/>
      <c r="X114" s="208"/>
      <c r="Y114" s="208"/>
      <c r="Z114" s="208"/>
    </row>
    <row r="115" spans="1:26">
      <c r="A115" s="242"/>
      <c r="B115" s="242"/>
      <c r="C115" s="242"/>
      <c r="D115" s="242"/>
      <c r="E115" s="242"/>
      <c r="F115" s="242"/>
      <c r="G115" s="208"/>
      <c r="H115" s="208"/>
      <c r="I115" s="208"/>
      <c r="J115" s="208"/>
      <c r="K115" s="208"/>
      <c r="L115" s="208"/>
      <c r="M115" s="208"/>
      <c r="N115" s="208"/>
      <c r="O115" s="208"/>
      <c r="P115" s="208"/>
      <c r="Q115" s="208"/>
      <c r="R115" s="208"/>
      <c r="S115" s="208"/>
      <c r="T115" s="208"/>
      <c r="U115" s="208"/>
      <c r="V115" s="208"/>
      <c r="W115" s="208"/>
      <c r="X115" s="208"/>
      <c r="Y115" s="208"/>
      <c r="Z115" s="208"/>
    </row>
    <row r="116" spans="1:26" s="127" customFormat="1">
      <c r="A116" s="242"/>
      <c r="B116" s="242"/>
      <c r="C116" s="242"/>
      <c r="D116" s="242"/>
      <c r="E116" s="242"/>
      <c r="F116" s="242"/>
      <c r="G116" s="208"/>
      <c r="H116" s="208"/>
      <c r="I116" s="208"/>
      <c r="J116" s="208"/>
      <c r="K116" s="208"/>
      <c r="L116" s="208"/>
      <c r="M116" s="208"/>
      <c r="N116" s="208"/>
      <c r="O116" s="208"/>
      <c r="P116" s="208"/>
      <c r="Q116" s="208"/>
      <c r="R116" s="208"/>
      <c r="S116" s="208"/>
      <c r="T116" s="208"/>
      <c r="U116" s="208"/>
      <c r="V116" s="208"/>
      <c r="W116" s="208"/>
      <c r="X116" s="208"/>
      <c r="Y116" s="208"/>
      <c r="Z116" s="208"/>
    </row>
    <row r="117" spans="1:26">
      <c r="A117" s="242"/>
      <c r="B117" s="242"/>
      <c r="C117" s="242"/>
      <c r="D117" s="242"/>
      <c r="E117" s="242"/>
      <c r="F117" s="242"/>
      <c r="G117" s="208"/>
      <c r="H117" s="208"/>
      <c r="I117" s="208"/>
      <c r="J117" s="208"/>
      <c r="K117" s="208"/>
      <c r="L117" s="208"/>
      <c r="M117" s="208"/>
      <c r="N117" s="208"/>
      <c r="O117" s="208"/>
      <c r="P117" s="208"/>
      <c r="Q117" s="208"/>
      <c r="R117" s="208"/>
      <c r="S117" s="208"/>
      <c r="T117" s="208"/>
      <c r="U117" s="208"/>
      <c r="V117" s="208"/>
      <c r="W117" s="208"/>
      <c r="X117" s="208"/>
      <c r="Y117" s="208"/>
      <c r="Z117" s="208"/>
    </row>
    <row r="118" spans="1:26" s="128" customFormat="1">
      <c r="A118" s="242"/>
      <c r="B118" s="242"/>
      <c r="C118" s="242"/>
      <c r="D118" s="242"/>
      <c r="E118" s="242"/>
      <c r="F118" s="242"/>
      <c r="G118" s="208"/>
      <c r="H118" s="208"/>
      <c r="I118" s="208"/>
      <c r="J118" s="208"/>
      <c r="K118" s="208"/>
      <c r="L118" s="208"/>
      <c r="M118" s="208"/>
      <c r="N118" s="208"/>
      <c r="O118" s="208"/>
      <c r="P118" s="208"/>
      <c r="Q118" s="208"/>
      <c r="R118" s="208"/>
      <c r="S118" s="208"/>
      <c r="T118" s="208"/>
      <c r="U118" s="208"/>
      <c r="V118" s="208"/>
      <c r="W118" s="208"/>
      <c r="X118" s="208"/>
      <c r="Y118" s="208"/>
      <c r="Z118" s="208"/>
    </row>
    <row r="119" spans="1:26" s="128" customFormat="1">
      <c r="A119" s="242"/>
      <c r="B119" s="242"/>
      <c r="C119" s="242"/>
      <c r="D119" s="242"/>
      <c r="E119" s="242"/>
      <c r="F119" s="242"/>
      <c r="G119" s="208"/>
      <c r="H119" s="208"/>
      <c r="I119" s="208"/>
      <c r="J119" s="208"/>
      <c r="K119" s="208"/>
      <c r="L119" s="208"/>
      <c r="M119" s="208"/>
      <c r="N119" s="208"/>
      <c r="O119" s="208"/>
      <c r="P119" s="208"/>
      <c r="Q119" s="208"/>
      <c r="R119" s="208"/>
      <c r="S119" s="208"/>
      <c r="T119" s="208"/>
      <c r="U119" s="208"/>
      <c r="V119" s="208"/>
      <c r="W119" s="208"/>
      <c r="X119" s="208"/>
      <c r="Y119" s="208"/>
      <c r="Z119" s="208"/>
    </row>
    <row r="120" spans="1:26">
      <c r="A120" s="242"/>
      <c r="B120" s="242"/>
      <c r="C120" s="242"/>
      <c r="D120" s="242"/>
      <c r="E120" s="242"/>
      <c r="F120" s="242"/>
      <c r="G120" s="208"/>
      <c r="H120" s="208"/>
      <c r="I120" s="208"/>
      <c r="J120" s="208"/>
      <c r="K120" s="208"/>
      <c r="L120" s="208"/>
      <c r="M120" s="208"/>
      <c r="N120" s="208"/>
      <c r="O120" s="208"/>
      <c r="P120" s="208"/>
      <c r="Q120" s="208"/>
      <c r="R120" s="208"/>
      <c r="S120" s="208"/>
      <c r="T120" s="208"/>
      <c r="U120" s="208"/>
      <c r="V120" s="208"/>
      <c r="W120" s="208"/>
      <c r="X120" s="208"/>
      <c r="Y120" s="208"/>
      <c r="Z120" s="208"/>
    </row>
    <row r="121" spans="1:26">
      <c r="A121" s="242"/>
      <c r="B121" s="242"/>
      <c r="C121" s="242"/>
      <c r="D121" s="242"/>
      <c r="E121" s="242"/>
      <c r="F121" s="242"/>
      <c r="G121" s="208"/>
      <c r="H121" s="208"/>
      <c r="I121" s="208"/>
      <c r="J121" s="208"/>
      <c r="K121" s="208"/>
      <c r="L121" s="208"/>
      <c r="M121" s="208"/>
      <c r="N121" s="208"/>
      <c r="O121" s="208"/>
      <c r="P121" s="208"/>
      <c r="Q121" s="208"/>
      <c r="R121" s="208"/>
      <c r="S121" s="208"/>
      <c r="T121" s="208"/>
      <c r="U121" s="208"/>
      <c r="V121" s="208"/>
      <c r="W121" s="208"/>
      <c r="X121" s="208"/>
      <c r="Y121" s="208"/>
      <c r="Z121" s="208"/>
    </row>
    <row r="122" spans="1:26">
      <c r="A122" s="242"/>
      <c r="B122" s="242"/>
      <c r="C122" s="242"/>
      <c r="D122" s="242"/>
      <c r="E122" s="242"/>
      <c r="F122" s="242"/>
      <c r="G122" s="208"/>
      <c r="H122" s="208"/>
      <c r="I122" s="208"/>
      <c r="J122" s="208"/>
      <c r="K122" s="208"/>
      <c r="L122" s="208"/>
      <c r="M122" s="208"/>
      <c r="N122" s="208"/>
      <c r="O122" s="208"/>
      <c r="P122" s="208"/>
      <c r="Q122" s="208"/>
      <c r="R122" s="208"/>
      <c r="S122" s="208"/>
      <c r="T122" s="208"/>
      <c r="U122" s="208"/>
      <c r="V122" s="208"/>
      <c r="W122" s="208"/>
      <c r="X122" s="208"/>
      <c r="Y122" s="208"/>
      <c r="Z122" s="208"/>
    </row>
    <row r="123" spans="1:26">
      <c r="A123" s="242"/>
      <c r="B123" s="242"/>
      <c r="C123" s="242"/>
      <c r="D123" s="242"/>
      <c r="E123" s="242"/>
      <c r="F123" s="242"/>
      <c r="G123" s="208"/>
      <c r="H123" s="208"/>
      <c r="I123" s="208"/>
      <c r="J123" s="208"/>
      <c r="K123" s="208"/>
      <c r="L123" s="208"/>
      <c r="M123" s="208"/>
      <c r="N123" s="208"/>
      <c r="O123" s="208"/>
      <c r="P123" s="208"/>
      <c r="Q123" s="208"/>
      <c r="R123" s="208"/>
      <c r="S123" s="208"/>
      <c r="T123" s="208"/>
      <c r="U123" s="208"/>
      <c r="V123" s="208"/>
      <c r="W123" s="208"/>
      <c r="X123" s="208"/>
      <c r="Y123" s="208"/>
      <c r="Z123" s="208"/>
    </row>
    <row r="124" spans="1:26">
      <c r="A124" s="242"/>
      <c r="B124" s="242"/>
      <c r="C124" s="242"/>
      <c r="D124" s="242"/>
      <c r="E124" s="242"/>
      <c r="F124" s="242"/>
      <c r="G124" s="208"/>
      <c r="H124" s="208"/>
      <c r="I124" s="208"/>
      <c r="J124" s="208"/>
      <c r="K124" s="208"/>
      <c r="L124" s="208"/>
      <c r="M124" s="208"/>
      <c r="N124" s="208"/>
      <c r="O124" s="208"/>
      <c r="P124" s="208"/>
      <c r="Q124" s="208"/>
      <c r="R124" s="208"/>
      <c r="S124" s="208"/>
      <c r="T124" s="208"/>
      <c r="U124" s="208"/>
      <c r="V124" s="208"/>
      <c r="W124" s="208"/>
      <c r="X124" s="208"/>
      <c r="Y124" s="208"/>
      <c r="Z124" s="208"/>
    </row>
    <row r="125" spans="1:26">
      <c r="A125" s="242"/>
      <c r="B125" s="242"/>
      <c r="C125" s="242"/>
      <c r="D125" s="242"/>
      <c r="E125" s="242"/>
      <c r="F125" s="242"/>
      <c r="G125" s="208"/>
      <c r="H125" s="208"/>
      <c r="I125" s="208"/>
      <c r="J125" s="208"/>
      <c r="K125" s="208"/>
      <c r="L125" s="208"/>
      <c r="M125" s="208"/>
      <c r="N125" s="208"/>
      <c r="O125" s="208"/>
      <c r="P125" s="208"/>
      <c r="Q125" s="208"/>
      <c r="R125" s="208"/>
      <c r="S125" s="208"/>
      <c r="T125" s="208"/>
      <c r="U125" s="208"/>
      <c r="V125" s="208"/>
      <c r="W125" s="208"/>
      <c r="X125" s="208"/>
      <c r="Y125" s="208"/>
      <c r="Z125" s="208"/>
    </row>
    <row r="126" spans="1:26">
      <c r="A126" s="242"/>
      <c r="B126" s="242"/>
      <c r="C126" s="242"/>
      <c r="D126" s="242"/>
      <c r="E126" s="242"/>
      <c r="F126" s="242"/>
      <c r="G126" s="208"/>
      <c r="H126" s="208"/>
      <c r="I126" s="208"/>
      <c r="J126" s="208"/>
      <c r="K126" s="208"/>
      <c r="L126" s="208"/>
      <c r="M126" s="208"/>
      <c r="N126" s="208"/>
      <c r="O126" s="208"/>
      <c r="P126" s="208"/>
      <c r="Q126" s="208"/>
      <c r="R126" s="208"/>
      <c r="S126" s="208"/>
      <c r="T126" s="208"/>
      <c r="U126" s="208"/>
      <c r="V126" s="208"/>
      <c r="W126" s="208"/>
      <c r="X126" s="208"/>
      <c r="Y126" s="208"/>
      <c r="Z126" s="208"/>
    </row>
    <row r="127" spans="1:26">
      <c r="A127" s="242"/>
      <c r="B127" s="242"/>
      <c r="C127" s="242"/>
      <c r="D127" s="242"/>
      <c r="E127" s="242"/>
      <c r="F127" s="242"/>
      <c r="G127" s="208"/>
      <c r="H127" s="208"/>
      <c r="I127" s="208"/>
      <c r="J127" s="208"/>
      <c r="K127" s="208"/>
      <c r="L127" s="208"/>
      <c r="M127" s="208"/>
      <c r="N127" s="208"/>
      <c r="O127" s="208"/>
      <c r="P127" s="208"/>
      <c r="Q127" s="208"/>
      <c r="R127" s="208"/>
      <c r="S127" s="208"/>
      <c r="T127" s="208"/>
      <c r="U127" s="208"/>
      <c r="V127" s="208"/>
      <c r="W127" s="208"/>
      <c r="X127" s="208"/>
      <c r="Y127" s="208"/>
      <c r="Z127" s="208"/>
    </row>
    <row r="128" spans="1:26">
      <c r="A128" s="242"/>
      <c r="B128" s="242"/>
      <c r="C128" s="242"/>
      <c r="D128" s="242"/>
      <c r="E128" s="242"/>
      <c r="F128" s="242"/>
      <c r="G128" s="208"/>
      <c r="H128" s="208"/>
      <c r="I128" s="208"/>
      <c r="J128" s="208"/>
      <c r="K128" s="208"/>
      <c r="L128" s="208"/>
      <c r="M128" s="208"/>
      <c r="N128" s="208"/>
      <c r="O128" s="208"/>
      <c r="P128" s="208"/>
      <c r="Q128" s="208"/>
      <c r="R128" s="208"/>
      <c r="S128" s="208"/>
      <c r="T128" s="208"/>
      <c r="U128" s="208"/>
      <c r="V128" s="208"/>
      <c r="W128" s="208"/>
      <c r="X128" s="208"/>
      <c r="Y128" s="208"/>
      <c r="Z128" s="208"/>
    </row>
    <row r="129" spans="1:26">
      <c r="A129" s="242"/>
      <c r="B129" s="242"/>
      <c r="C129" s="242"/>
      <c r="D129" s="242"/>
      <c r="E129" s="242"/>
      <c r="F129" s="242"/>
      <c r="G129" s="208"/>
      <c r="H129" s="208"/>
      <c r="I129" s="208"/>
      <c r="J129" s="208"/>
      <c r="K129" s="208"/>
      <c r="L129" s="208"/>
      <c r="M129" s="208"/>
      <c r="N129" s="208"/>
      <c r="O129" s="208"/>
      <c r="P129" s="208"/>
      <c r="Q129" s="208"/>
      <c r="R129" s="208"/>
      <c r="S129" s="208"/>
      <c r="T129" s="208"/>
      <c r="U129" s="208"/>
      <c r="V129" s="208"/>
      <c r="W129" s="208"/>
      <c r="X129" s="208"/>
      <c r="Y129" s="208"/>
      <c r="Z129" s="208"/>
    </row>
    <row r="130" spans="1:26">
      <c r="A130" s="242"/>
      <c r="B130" s="242"/>
      <c r="C130" s="242"/>
      <c r="D130" s="242"/>
      <c r="E130" s="242"/>
      <c r="F130" s="242"/>
      <c r="G130" s="208"/>
      <c r="H130" s="208"/>
      <c r="I130" s="208"/>
      <c r="J130" s="208"/>
      <c r="K130" s="208"/>
      <c r="L130" s="208"/>
      <c r="M130" s="208"/>
      <c r="N130" s="208"/>
      <c r="O130" s="208"/>
      <c r="P130" s="208"/>
      <c r="Q130" s="208"/>
      <c r="R130" s="208"/>
      <c r="S130" s="208"/>
      <c r="T130" s="208"/>
      <c r="U130" s="208"/>
      <c r="V130" s="208"/>
      <c r="W130" s="208"/>
      <c r="X130" s="208"/>
      <c r="Y130" s="208"/>
      <c r="Z130" s="208"/>
    </row>
    <row r="131" spans="1:26">
      <c r="A131" s="242"/>
      <c r="B131" s="242"/>
      <c r="C131" s="242"/>
      <c r="D131" s="242"/>
      <c r="E131" s="242"/>
      <c r="F131" s="242"/>
      <c r="G131" s="208"/>
      <c r="H131" s="208"/>
      <c r="I131" s="208"/>
      <c r="J131" s="208"/>
      <c r="K131" s="208"/>
      <c r="L131" s="208"/>
      <c r="M131" s="208"/>
      <c r="N131" s="208"/>
      <c r="O131" s="208"/>
      <c r="P131" s="208"/>
      <c r="Q131" s="208"/>
      <c r="R131" s="208"/>
      <c r="S131" s="208"/>
      <c r="T131" s="208"/>
      <c r="U131" s="208"/>
      <c r="V131" s="208"/>
      <c r="W131" s="208"/>
      <c r="X131" s="208"/>
      <c r="Y131" s="208"/>
      <c r="Z131" s="208"/>
    </row>
    <row r="132" spans="1:26">
      <c r="A132" s="242"/>
      <c r="B132" s="242"/>
      <c r="C132" s="242"/>
      <c r="D132" s="242"/>
      <c r="E132" s="242"/>
      <c r="F132" s="242"/>
      <c r="G132" s="208"/>
      <c r="H132" s="208"/>
      <c r="I132" s="208"/>
      <c r="J132" s="208"/>
      <c r="K132" s="208"/>
      <c r="L132" s="208"/>
      <c r="M132" s="208"/>
      <c r="N132" s="208"/>
      <c r="O132" s="208"/>
      <c r="P132" s="208"/>
      <c r="Q132" s="208"/>
      <c r="R132" s="208"/>
      <c r="S132" s="208"/>
      <c r="T132" s="208"/>
      <c r="U132" s="208"/>
      <c r="V132" s="208"/>
      <c r="W132" s="208"/>
      <c r="X132" s="208"/>
      <c r="Y132" s="208"/>
      <c r="Z132" s="208"/>
    </row>
    <row r="133" spans="1:26">
      <c r="A133" s="242"/>
      <c r="B133" s="242"/>
      <c r="C133" s="242"/>
      <c r="D133" s="242"/>
      <c r="E133" s="242"/>
      <c r="F133" s="242"/>
      <c r="G133" s="208"/>
      <c r="H133" s="208"/>
      <c r="I133" s="208"/>
      <c r="J133" s="208"/>
      <c r="K133" s="208"/>
      <c r="L133" s="208"/>
      <c r="M133" s="208"/>
      <c r="N133" s="208"/>
      <c r="O133" s="208"/>
      <c r="P133" s="208"/>
      <c r="Q133" s="208"/>
      <c r="R133" s="208"/>
      <c r="S133" s="208"/>
      <c r="T133" s="208"/>
      <c r="U133" s="208"/>
      <c r="V133" s="208"/>
      <c r="W133" s="208"/>
      <c r="X133" s="208"/>
      <c r="Y133" s="208"/>
      <c r="Z133" s="208"/>
    </row>
    <row r="134" spans="1:26">
      <c r="A134" s="242"/>
      <c r="B134" s="242"/>
      <c r="C134" s="242"/>
      <c r="D134" s="242"/>
      <c r="E134" s="242"/>
      <c r="F134" s="242"/>
      <c r="G134" s="208"/>
      <c r="H134" s="208"/>
      <c r="I134" s="208"/>
      <c r="J134" s="208"/>
      <c r="K134" s="208"/>
      <c r="L134" s="208"/>
      <c r="M134" s="208"/>
      <c r="N134" s="208"/>
      <c r="O134" s="208"/>
      <c r="P134" s="208"/>
      <c r="Q134" s="208"/>
      <c r="R134" s="208"/>
      <c r="S134" s="208"/>
      <c r="T134" s="208"/>
      <c r="U134" s="208"/>
      <c r="V134" s="208"/>
      <c r="W134" s="208"/>
      <c r="X134" s="208"/>
      <c r="Y134" s="208"/>
      <c r="Z134" s="208"/>
    </row>
    <row r="135" spans="1:26">
      <c r="A135" s="242"/>
      <c r="B135" s="242"/>
      <c r="C135" s="242"/>
      <c r="D135" s="242"/>
      <c r="E135" s="242"/>
      <c r="F135" s="242"/>
      <c r="G135" s="208"/>
      <c r="H135" s="208"/>
      <c r="I135" s="208"/>
      <c r="J135" s="208"/>
      <c r="K135" s="208"/>
      <c r="L135" s="208"/>
      <c r="M135" s="208"/>
      <c r="N135" s="208"/>
      <c r="O135" s="208"/>
      <c r="P135" s="208"/>
      <c r="Q135" s="208"/>
      <c r="R135" s="208"/>
      <c r="S135" s="208"/>
      <c r="T135" s="208"/>
      <c r="U135" s="208"/>
      <c r="V135" s="208"/>
      <c r="W135" s="208"/>
      <c r="X135" s="208"/>
      <c r="Y135" s="208"/>
      <c r="Z135" s="208"/>
    </row>
    <row r="136" spans="1:26">
      <c r="A136" s="242"/>
      <c r="B136" s="242"/>
      <c r="C136" s="242"/>
      <c r="D136" s="242"/>
      <c r="E136" s="242"/>
      <c r="F136" s="242"/>
      <c r="G136" s="208"/>
      <c r="H136" s="208"/>
      <c r="I136" s="208"/>
      <c r="J136" s="208"/>
      <c r="K136" s="208"/>
      <c r="L136" s="208"/>
      <c r="M136" s="208"/>
      <c r="N136" s="208"/>
      <c r="O136" s="208"/>
      <c r="P136" s="208"/>
      <c r="Q136" s="208"/>
      <c r="R136" s="208"/>
      <c r="S136" s="208"/>
      <c r="T136" s="208"/>
      <c r="U136" s="208"/>
      <c r="V136" s="208"/>
      <c r="W136" s="208"/>
      <c r="X136" s="208"/>
      <c r="Y136" s="208"/>
      <c r="Z136" s="208"/>
    </row>
    <row r="137" spans="1:26">
      <c r="A137" s="242"/>
      <c r="B137" s="242"/>
      <c r="C137" s="242"/>
      <c r="D137" s="242"/>
      <c r="E137" s="242"/>
      <c r="F137" s="242"/>
      <c r="G137" s="208"/>
      <c r="H137" s="208"/>
      <c r="I137" s="208"/>
      <c r="J137" s="208"/>
      <c r="K137" s="208"/>
      <c r="L137" s="208"/>
      <c r="M137" s="208"/>
      <c r="N137" s="208"/>
      <c r="O137" s="208"/>
      <c r="P137" s="208"/>
      <c r="Q137" s="208"/>
      <c r="R137" s="208"/>
      <c r="S137" s="208"/>
      <c r="T137" s="208"/>
      <c r="U137" s="208"/>
      <c r="V137" s="208"/>
      <c r="W137" s="208"/>
      <c r="X137" s="208"/>
      <c r="Y137" s="208"/>
      <c r="Z137" s="208"/>
    </row>
    <row r="138" spans="1:26">
      <c r="A138" s="242"/>
      <c r="B138" s="242"/>
      <c r="C138" s="242"/>
      <c r="D138" s="242"/>
      <c r="E138" s="242"/>
      <c r="F138" s="242"/>
      <c r="G138" s="208"/>
      <c r="H138" s="208"/>
      <c r="I138" s="208"/>
      <c r="J138" s="208"/>
      <c r="K138" s="208"/>
      <c r="L138" s="208"/>
      <c r="M138" s="208"/>
      <c r="N138" s="208"/>
      <c r="O138" s="208"/>
      <c r="P138" s="208"/>
      <c r="Q138" s="208"/>
      <c r="R138" s="208"/>
      <c r="S138" s="208"/>
      <c r="T138" s="208"/>
      <c r="U138" s="208"/>
      <c r="V138" s="208"/>
      <c r="W138" s="208"/>
      <c r="X138" s="208"/>
      <c r="Y138" s="208"/>
      <c r="Z138" s="208"/>
    </row>
    <row r="139" spans="1:26">
      <c r="A139" s="242"/>
      <c r="B139" s="242"/>
      <c r="C139" s="242"/>
      <c r="D139" s="242"/>
      <c r="E139" s="242"/>
      <c r="F139" s="242"/>
      <c r="G139" s="208"/>
      <c r="H139" s="208"/>
      <c r="I139" s="208"/>
      <c r="J139" s="208"/>
      <c r="K139" s="208"/>
      <c r="L139" s="208"/>
      <c r="M139" s="208"/>
      <c r="N139" s="208"/>
      <c r="O139" s="208"/>
      <c r="P139" s="208"/>
      <c r="Q139" s="208"/>
      <c r="R139" s="208"/>
      <c r="S139" s="208"/>
      <c r="T139" s="208"/>
      <c r="U139" s="208"/>
      <c r="V139" s="208"/>
      <c r="W139" s="208"/>
      <c r="X139" s="208"/>
      <c r="Y139" s="208"/>
      <c r="Z139" s="208"/>
    </row>
    <row r="140" spans="1:26">
      <c r="A140" s="242"/>
      <c r="B140" s="242"/>
      <c r="C140" s="242"/>
      <c r="D140" s="242"/>
      <c r="E140" s="242"/>
      <c r="F140" s="242"/>
      <c r="G140" s="208"/>
      <c r="H140" s="208"/>
      <c r="I140" s="208"/>
      <c r="J140" s="208"/>
      <c r="K140" s="208"/>
      <c r="L140" s="208"/>
      <c r="M140" s="208"/>
      <c r="N140" s="208"/>
      <c r="O140" s="208"/>
      <c r="P140" s="208"/>
      <c r="Q140" s="208"/>
      <c r="R140" s="208"/>
      <c r="S140" s="208"/>
      <c r="T140" s="208"/>
      <c r="U140" s="208"/>
      <c r="V140" s="208"/>
      <c r="W140" s="208"/>
      <c r="X140" s="208"/>
      <c r="Y140" s="208"/>
      <c r="Z140" s="208"/>
    </row>
    <row r="141" spans="1:26">
      <c r="A141" s="242"/>
      <c r="B141" s="242"/>
      <c r="C141" s="242"/>
      <c r="D141" s="242"/>
      <c r="E141" s="242"/>
      <c r="F141" s="242"/>
      <c r="G141" s="208"/>
      <c r="H141" s="208"/>
      <c r="I141" s="208"/>
      <c r="J141" s="208"/>
      <c r="K141" s="208"/>
      <c r="L141" s="208"/>
      <c r="M141" s="208"/>
      <c r="N141" s="208"/>
      <c r="O141" s="208"/>
      <c r="P141" s="208"/>
      <c r="Q141" s="208"/>
      <c r="R141" s="208"/>
      <c r="S141" s="208"/>
      <c r="T141" s="208"/>
      <c r="U141" s="208"/>
      <c r="V141" s="208"/>
      <c r="W141" s="208"/>
      <c r="X141" s="208"/>
      <c r="Y141" s="208"/>
      <c r="Z141" s="208"/>
    </row>
    <row r="142" spans="1:26">
      <c r="A142" s="242"/>
      <c r="B142" s="242"/>
      <c r="C142" s="242"/>
      <c r="D142" s="242"/>
      <c r="E142" s="242"/>
      <c r="F142" s="242"/>
      <c r="G142" s="208"/>
      <c r="H142" s="208"/>
      <c r="I142" s="208"/>
      <c r="J142" s="208"/>
      <c r="K142" s="208"/>
      <c r="L142" s="208"/>
      <c r="M142" s="208"/>
      <c r="N142" s="208"/>
      <c r="O142" s="208"/>
      <c r="P142" s="208"/>
      <c r="Q142" s="208"/>
      <c r="R142" s="208"/>
      <c r="S142" s="208"/>
      <c r="T142" s="208"/>
      <c r="U142" s="208"/>
      <c r="V142" s="208"/>
      <c r="W142" s="208"/>
      <c r="X142" s="208"/>
      <c r="Y142" s="208"/>
      <c r="Z142" s="208"/>
    </row>
    <row r="143" spans="1:26">
      <c r="A143" s="242"/>
      <c r="B143" s="242"/>
      <c r="C143" s="242"/>
      <c r="D143" s="242"/>
      <c r="E143" s="242"/>
      <c r="F143" s="242"/>
      <c r="G143" s="208"/>
      <c r="H143" s="208"/>
      <c r="I143" s="208"/>
      <c r="J143" s="208"/>
      <c r="K143" s="208"/>
      <c r="L143" s="208"/>
      <c r="M143" s="208"/>
      <c r="N143" s="208"/>
      <c r="O143" s="208"/>
      <c r="P143" s="208"/>
      <c r="Q143" s="208"/>
      <c r="R143" s="208"/>
      <c r="S143" s="208"/>
      <c r="T143" s="208"/>
      <c r="U143" s="208"/>
      <c r="V143" s="208"/>
      <c r="W143" s="208"/>
      <c r="X143" s="208"/>
      <c r="Y143" s="208"/>
      <c r="Z143" s="208"/>
    </row>
    <row r="144" spans="1:26">
      <c r="A144" s="242"/>
      <c r="B144" s="242"/>
      <c r="C144" s="242"/>
      <c r="D144" s="242"/>
      <c r="E144" s="242"/>
      <c r="F144" s="242"/>
      <c r="G144" s="208"/>
      <c r="H144" s="208"/>
      <c r="I144" s="208"/>
      <c r="J144" s="208"/>
      <c r="K144" s="208"/>
      <c r="L144" s="208"/>
      <c r="M144" s="208"/>
      <c r="N144" s="208"/>
      <c r="O144" s="208"/>
      <c r="P144" s="208"/>
      <c r="Q144" s="208"/>
      <c r="R144" s="208"/>
      <c r="S144" s="208"/>
      <c r="T144" s="208"/>
      <c r="U144" s="208"/>
      <c r="V144" s="208"/>
      <c r="W144" s="208"/>
      <c r="X144" s="208"/>
      <c r="Y144" s="208"/>
      <c r="Z144" s="208"/>
    </row>
    <row r="145" spans="1:26">
      <c r="A145" s="242"/>
      <c r="B145" s="242"/>
      <c r="C145" s="242"/>
      <c r="D145" s="242"/>
      <c r="E145" s="242"/>
      <c r="F145" s="242"/>
      <c r="G145" s="208"/>
      <c r="H145" s="208"/>
      <c r="I145" s="208"/>
      <c r="J145" s="208"/>
      <c r="K145" s="208"/>
      <c r="L145" s="208"/>
      <c r="M145" s="208"/>
      <c r="N145" s="208"/>
      <c r="O145" s="208"/>
      <c r="P145" s="208"/>
      <c r="Q145" s="208"/>
      <c r="R145" s="208"/>
      <c r="S145" s="208"/>
      <c r="T145" s="208"/>
      <c r="U145" s="208"/>
      <c r="V145" s="208"/>
      <c r="W145" s="208"/>
      <c r="X145" s="208"/>
      <c r="Y145" s="208"/>
      <c r="Z145" s="208"/>
    </row>
    <row r="146" spans="1:26">
      <c r="A146" s="242"/>
      <c r="B146" s="242"/>
      <c r="C146" s="242"/>
      <c r="D146" s="242"/>
      <c r="E146" s="242"/>
      <c r="F146" s="242"/>
      <c r="G146" s="208"/>
      <c r="H146" s="208"/>
      <c r="I146" s="208"/>
      <c r="J146" s="208"/>
      <c r="K146" s="208"/>
      <c r="L146" s="208"/>
      <c r="M146" s="208"/>
      <c r="N146" s="208"/>
      <c r="O146" s="208"/>
      <c r="P146" s="208"/>
      <c r="Q146" s="208"/>
      <c r="R146" s="208"/>
      <c r="S146" s="208"/>
      <c r="T146" s="208"/>
      <c r="U146" s="208"/>
      <c r="V146" s="208"/>
      <c r="W146" s="208"/>
      <c r="X146" s="208"/>
      <c r="Y146" s="208"/>
      <c r="Z146" s="208"/>
    </row>
    <row r="147" spans="1:26">
      <c r="A147" s="242"/>
      <c r="B147" s="242"/>
      <c r="C147" s="242"/>
      <c r="D147" s="242"/>
      <c r="E147" s="242"/>
      <c r="F147" s="242"/>
      <c r="G147" s="208"/>
      <c r="H147" s="208"/>
      <c r="I147" s="208"/>
      <c r="J147" s="208"/>
      <c r="K147" s="208"/>
      <c r="L147" s="208"/>
      <c r="M147" s="208"/>
      <c r="N147" s="208"/>
      <c r="O147" s="208"/>
      <c r="P147" s="208"/>
      <c r="Q147" s="208"/>
      <c r="R147" s="208"/>
      <c r="S147" s="208"/>
      <c r="T147" s="208"/>
      <c r="U147" s="208"/>
      <c r="V147" s="208"/>
      <c r="W147" s="208"/>
      <c r="X147" s="208"/>
      <c r="Y147" s="208"/>
      <c r="Z147" s="208"/>
    </row>
    <row r="148" spans="1:26">
      <c r="A148" s="242"/>
      <c r="B148" s="242"/>
      <c r="C148" s="242"/>
      <c r="D148" s="242"/>
      <c r="E148" s="242"/>
      <c r="F148" s="242"/>
      <c r="G148" s="208"/>
      <c r="H148" s="208"/>
      <c r="I148" s="208"/>
      <c r="J148" s="208"/>
      <c r="K148" s="208"/>
      <c r="L148" s="208"/>
      <c r="M148" s="208"/>
      <c r="N148" s="208"/>
      <c r="O148" s="208"/>
      <c r="P148" s="208"/>
      <c r="Q148" s="208"/>
      <c r="R148" s="208"/>
      <c r="S148" s="208"/>
      <c r="T148" s="208"/>
      <c r="U148" s="208"/>
      <c r="V148" s="208"/>
      <c r="W148" s="208"/>
      <c r="X148" s="208"/>
      <c r="Y148" s="208"/>
      <c r="Z148" s="208"/>
    </row>
    <row r="149" spans="1:26">
      <c r="A149" s="242"/>
      <c r="B149" s="242"/>
      <c r="C149" s="242"/>
      <c r="D149" s="242"/>
      <c r="E149" s="242"/>
      <c r="F149" s="242"/>
      <c r="G149" s="208"/>
      <c r="H149" s="208"/>
      <c r="I149" s="208"/>
      <c r="J149" s="208"/>
      <c r="K149" s="208"/>
      <c r="L149" s="208"/>
      <c r="M149" s="208"/>
      <c r="N149" s="208"/>
      <c r="O149" s="208"/>
      <c r="P149" s="208"/>
      <c r="Q149" s="208"/>
      <c r="R149" s="208"/>
      <c r="S149" s="208"/>
      <c r="T149" s="208"/>
      <c r="U149" s="208"/>
      <c r="V149" s="208"/>
      <c r="W149" s="208"/>
      <c r="X149" s="208"/>
      <c r="Y149" s="208"/>
      <c r="Z149" s="208"/>
    </row>
    <row r="150" spans="1:26">
      <c r="A150" s="242"/>
      <c r="B150" s="242"/>
      <c r="C150" s="242"/>
      <c r="D150" s="242"/>
      <c r="E150" s="242"/>
      <c r="F150" s="242"/>
      <c r="G150" s="208"/>
      <c r="H150" s="208"/>
      <c r="I150" s="208"/>
      <c r="J150" s="208"/>
      <c r="K150" s="208"/>
      <c r="L150" s="208"/>
      <c r="M150" s="208"/>
      <c r="N150" s="208"/>
      <c r="O150" s="208"/>
      <c r="P150" s="208"/>
      <c r="Q150" s="208"/>
      <c r="R150" s="208"/>
      <c r="S150" s="208"/>
      <c r="T150" s="208"/>
      <c r="U150" s="208"/>
      <c r="V150" s="208"/>
      <c r="W150" s="208"/>
      <c r="X150" s="208"/>
      <c r="Y150" s="208"/>
      <c r="Z150" s="208"/>
    </row>
    <row r="151" spans="1:26">
      <c r="A151" s="242"/>
      <c r="B151" s="242"/>
      <c r="C151" s="242"/>
      <c r="D151" s="242"/>
      <c r="E151" s="242"/>
      <c r="F151" s="242"/>
      <c r="G151" s="208"/>
      <c r="H151" s="208"/>
      <c r="I151" s="208"/>
      <c r="J151" s="208"/>
      <c r="K151" s="208"/>
      <c r="L151" s="208"/>
      <c r="M151" s="208"/>
      <c r="N151" s="208"/>
      <c r="O151" s="208"/>
      <c r="P151" s="208"/>
      <c r="Q151" s="208"/>
      <c r="R151" s="208"/>
      <c r="S151" s="208"/>
      <c r="T151" s="208"/>
      <c r="U151" s="208"/>
      <c r="V151" s="208"/>
      <c r="W151" s="208"/>
      <c r="X151" s="208"/>
      <c r="Y151" s="208"/>
      <c r="Z151" s="208"/>
    </row>
    <row r="152" spans="1:26">
      <c r="A152" s="242"/>
      <c r="B152" s="242"/>
      <c r="C152" s="242"/>
      <c r="D152" s="242"/>
      <c r="E152" s="242"/>
      <c r="F152" s="242"/>
      <c r="G152" s="208"/>
      <c r="H152" s="208"/>
      <c r="I152" s="208"/>
      <c r="J152" s="208"/>
      <c r="K152" s="208"/>
      <c r="L152" s="208"/>
      <c r="M152" s="208"/>
      <c r="N152" s="208"/>
      <c r="O152" s="208"/>
      <c r="P152" s="208"/>
      <c r="Q152" s="208"/>
      <c r="R152" s="208"/>
      <c r="S152" s="208"/>
      <c r="T152" s="208"/>
      <c r="U152" s="208"/>
      <c r="V152" s="208"/>
      <c r="W152" s="208"/>
      <c r="X152" s="208"/>
      <c r="Y152" s="208"/>
      <c r="Z152" s="208"/>
    </row>
    <row r="153" spans="1:26">
      <c r="A153" s="242"/>
      <c r="B153" s="242"/>
      <c r="C153" s="242"/>
      <c r="D153" s="242"/>
      <c r="E153" s="242"/>
      <c r="F153" s="242"/>
      <c r="G153" s="208"/>
      <c r="H153" s="208"/>
      <c r="I153" s="208"/>
      <c r="J153" s="208"/>
      <c r="K153" s="208"/>
      <c r="L153" s="208"/>
      <c r="M153" s="208"/>
      <c r="N153" s="208"/>
      <c r="O153" s="208"/>
      <c r="P153" s="208"/>
      <c r="Q153" s="208"/>
      <c r="R153" s="208"/>
      <c r="S153" s="208"/>
      <c r="T153" s="208"/>
      <c r="U153" s="208"/>
      <c r="V153" s="208"/>
      <c r="W153" s="208"/>
      <c r="X153" s="208"/>
      <c r="Y153" s="208"/>
      <c r="Z153" s="208"/>
    </row>
    <row r="154" spans="1:26">
      <c r="A154" s="242"/>
      <c r="B154" s="242"/>
      <c r="C154" s="242"/>
      <c r="D154" s="242"/>
      <c r="E154" s="242"/>
      <c r="F154" s="242"/>
      <c r="G154" s="208"/>
      <c r="H154" s="208"/>
      <c r="I154" s="208"/>
      <c r="J154" s="208"/>
      <c r="K154" s="208"/>
      <c r="L154" s="208"/>
      <c r="M154" s="208"/>
      <c r="N154" s="208"/>
      <c r="O154" s="208"/>
      <c r="P154" s="208"/>
      <c r="Q154" s="208"/>
      <c r="R154" s="208"/>
      <c r="S154" s="208"/>
      <c r="T154" s="208"/>
      <c r="U154" s="208"/>
      <c r="V154" s="208"/>
      <c r="W154" s="208"/>
      <c r="X154" s="208"/>
      <c r="Y154" s="208"/>
      <c r="Z154" s="208"/>
    </row>
    <row r="155" spans="1:26">
      <c r="A155" s="242"/>
      <c r="B155" s="242"/>
      <c r="C155" s="242"/>
      <c r="D155" s="242"/>
      <c r="E155" s="242"/>
      <c r="F155" s="242"/>
      <c r="G155" s="208"/>
      <c r="H155" s="208"/>
      <c r="I155" s="208"/>
      <c r="J155" s="208"/>
      <c r="K155" s="208"/>
      <c r="L155" s="208"/>
      <c r="M155" s="208"/>
      <c r="N155" s="208"/>
      <c r="O155" s="208"/>
      <c r="P155" s="208"/>
      <c r="Q155" s="208"/>
      <c r="R155" s="208"/>
      <c r="S155" s="208"/>
      <c r="T155" s="208"/>
      <c r="U155" s="208"/>
      <c r="V155" s="208"/>
      <c r="W155" s="208"/>
      <c r="X155" s="208"/>
      <c r="Y155" s="208"/>
      <c r="Z155" s="208"/>
    </row>
    <row r="156" spans="1:26">
      <c r="A156" s="242"/>
      <c r="B156" s="242"/>
      <c r="C156" s="242"/>
      <c r="D156" s="242"/>
      <c r="E156" s="242"/>
      <c r="F156" s="242"/>
      <c r="G156" s="208"/>
      <c r="H156" s="208"/>
      <c r="I156" s="208"/>
      <c r="J156" s="208"/>
      <c r="K156" s="208"/>
      <c r="L156" s="208"/>
      <c r="M156" s="208"/>
      <c r="N156" s="208"/>
      <c r="O156" s="208"/>
      <c r="P156" s="208"/>
      <c r="Q156" s="208"/>
      <c r="R156" s="208"/>
      <c r="S156" s="208"/>
      <c r="T156" s="208"/>
      <c r="U156" s="208"/>
      <c r="V156" s="208"/>
      <c r="W156" s="208"/>
      <c r="X156" s="208"/>
      <c r="Y156" s="208"/>
      <c r="Z156" s="208"/>
    </row>
    <row r="157" spans="1:26">
      <c r="A157" s="242"/>
      <c r="B157" s="242"/>
      <c r="C157" s="242"/>
      <c r="D157" s="242"/>
      <c r="E157" s="242"/>
      <c r="F157" s="242"/>
      <c r="G157" s="208"/>
      <c r="H157" s="208"/>
      <c r="I157" s="208"/>
      <c r="J157" s="208"/>
      <c r="K157" s="208"/>
      <c r="L157" s="208"/>
      <c r="M157" s="208"/>
      <c r="N157" s="208"/>
      <c r="O157" s="208"/>
      <c r="P157" s="208"/>
      <c r="Q157" s="208"/>
      <c r="R157" s="208"/>
      <c r="S157" s="208"/>
      <c r="T157" s="208"/>
      <c r="U157" s="208"/>
      <c r="V157" s="208"/>
      <c r="W157" s="208"/>
      <c r="X157" s="208"/>
      <c r="Y157" s="208"/>
      <c r="Z157" s="208"/>
    </row>
    <row r="158" spans="1:26">
      <c r="A158" s="242"/>
      <c r="B158" s="242"/>
      <c r="C158" s="242"/>
      <c r="D158" s="242"/>
      <c r="E158" s="242"/>
      <c r="F158" s="242"/>
      <c r="G158" s="208"/>
      <c r="H158" s="208"/>
      <c r="I158" s="208"/>
      <c r="J158" s="208"/>
      <c r="K158" s="208"/>
      <c r="L158" s="208"/>
      <c r="M158" s="208"/>
      <c r="N158" s="208"/>
      <c r="O158" s="208"/>
      <c r="P158" s="208"/>
      <c r="Q158" s="208"/>
      <c r="R158" s="208"/>
      <c r="S158" s="208"/>
      <c r="T158" s="208"/>
      <c r="U158" s="208"/>
      <c r="V158" s="208"/>
      <c r="W158" s="208"/>
      <c r="X158" s="208"/>
      <c r="Y158" s="208"/>
      <c r="Z158" s="208"/>
    </row>
    <row r="159" spans="1:26">
      <c r="A159" s="242"/>
      <c r="B159" s="242"/>
      <c r="C159" s="242"/>
      <c r="D159" s="242"/>
      <c r="E159" s="242"/>
      <c r="F159" s="242"/>
      <c r="G159" s="208"/>
      <c r="H159" s="208"/>
      <c r="I159" s="208"/>
      <c r="J159" s="208"/>
      <c r="K159" s="208"/>
      <c r="L159" s="208"/>
      <c r="M159" s="208"/>
      <c r="N159" s="208"/>
      <c r="O159" s="208"/>
      <c r="P159" s="208"/>
      <c r="Q159" s="208"/>
      <c r="R159" s="208"/>
      <c r="S159" s="208"/>
      <c r="T159" s="208"/>
      <c r="U159" s="208"/>
      <c r="V159" s="208"/>
      <c r="W159" s="208"/>
      <c r="X159" s="208"/>
      <c r="Y159" s="208"/>
      <c r="Z159" s="208"/>
    </row>
    <row r="160" spans="1:26">
      <c r="A160" s="242"/>
      <c r="B160" s="242"/>
      <c r="C160" s="242"/>
      <c r="D160" s="242"/>
      <c r="E160" s="242"/>
      <c r="F160" s="242"/>
      <c r="G160" s="208"/>
      <c r="H160" s="208"/>
      <c r="I160" s="208"/>
      <c r="J160" s="208"/>
      <c r="K160" s="208"/>
      <c r="L160" s="208"/>
      <c r="M160" s="208"/>
      <c r="N160" s="208"/>
      <c r="O160" s="208"/>
      <c r="P160" s="208"/>
      <c r="Q160" s="208"/>
      <c r="R160" s="208"/>
      <c r="S160" s="208"/>
      <c r="T160" s="208"/>
      <c r="U160" s="208"/>
      <c r="V160" s="208"/>
      <c r="W160" s="208"/>
      <c r="X160" s="208"/>
      <c r="Y160" s="208"/>
      <c r="Z160" s="208"/>
    </row>
    <row r="161" spans="1:26">
      <c r="A161" s="242"/>
      <c r="B161" s="242"/>
      <c r="C161" s="242"/>
      <c r="D161" s="242"/>
      <c r="E161" s="242"/>
      <c r="F161" s="242"/>
      <c r="G161" s="208"/>
      <c r="H161" s="208"/>
      <c r="I161" s="208"/>
      <c r="J161" s="208"/>
      <c r="K161" s="208"/>
      <c r="L161" s="208"/>
      <c r="M161" s="208"/>
      <c r="N161" s="208"/>
      <c r="O161" s="208"/>
      <c r="P161" s="208"/>
      <c r="Q161" s="208"/>
      <c r="R161" s="208"/>
      <c r="S161" s="208"/>
      <c r="T161" s="208"/>
      <c r="U161" s="208"/>
      <c r="V161" s="208"/>
      <c r="W161" s="208"/>
      <c r="X161" s="208"/>
      <c r="Y161" s="208"/>
      <c r="Z161" s="208"/>
    </row>
    <row r="162" spans="1:26">
      <c r="A162" s="242"/>
      <c r="B162" s="242"/>
      <c r="C162" s="242"/>
      <c r="D162" s="242"/>
      <c r="E162" s="242"/>
      <c r="F162" s="242"/>
      <c r="G162" s="208"/>
      <c r="H162" s="208"/>
      <c r="I162" s="208"/>
      <c r="J162" s="208"/>
      <c r="K162" s="208"/>
      <c r="L162" s="208"/>
      <c r="M162" s="208"/>
      <c r="N162" s="208"/>
      <c r="O162" s="208"/>
      <c r="P162" s="208"/>
      <c r="Q162" s="208"/>
      <c r="R162" s="208"/>
      <c r="S162" s="208"/>
      <c r="T162" s="208"/>
      <c r="U162" s="208"/>
      <c r="V162" s="208"/>
      <c r="W162" s="208"/>
      <c r="X162" s="208"/>
      <c r="Y162" s="208"/>
      <c r="Z162" s="208"/>
    </row>
    <row r="163" spans="1:26">
      <c r="A163" s="242"/>
      <c r="B163" s="242"/>
      <c r="C163" s="242"/>
      <c r="D163" s="242"/>
      <c r="E163" s="242"/>
      <c r="F163" s="242"/>
      <c r="G163" s="208"/>
      <c r="H163" s="208"/>
      <c r="I163" s="208"/>
      <c r="J163" s="208"/>
      <c r="K163" s="208"/>
      <c r="L163" s="208"/>
      <c r="M163" s="208"/>
      <c r="N163" s="208"/>
      <c r="O163" s="208"/>
      <c r="P163" s="208"/>
      <c r="Q163" s="208"/>
      <c r="R163" s="208"/>
      <c r="S163" s="208"/>
      <c r="T163" s="208"/>
      <c r="U163" s="208"/>
      <c r="V163" s="208"/>
      <c r="W163" s="208"/>
      <c r="X163" s="208"/>
      <c r="Y163" s="208"/>
      <c r="Z163" s="208"/>
    </row>
    <row r="164" spans="1:26">
      <c r="A164" s="242"/>
      <c r="B164" s="242"/>
      <c r="C164" s="242"/>
      <c r="D164" s="242"/>
      <c r="E164" s="242"/>
      <c r="F164" s="242"/>
      <c r="G164" s="208"/>
      <c r="H164" s="208"/>
      <c r="I164" s="208"/>
      <c r="J164" s="208"/>
      <c r="K164" s="208"/>
      <c r="L164" s="208"/>
      <c r="M164" s="208"/>
      <c r="N164" s="208"/>
      <c r="O164" s="208"/>
      <c r="P164" s="208"/>
      <c r="Q164" s="208"/>
      <c r="R164" s="208"/>
      <c r="S164" s="208"/>
      <c r="T164" s="208"/>
      <c r="U164" s="208"/>
      <c r="V164" s="208"/>
      <c r="W164" s="208"/>
      <c r="X164" s="208"/>
      <c r="Y164" s="208"/>
      <c r="Z164" s="208"/>
    </row>
    <row r="165" spans="1:26">
      <c r="A165" s="242"/>
      <c r="B165" s="242"/>
      <c r="C165" s="242"/>
      <c r="D165" s="242"/>
      <c r="E165" s="242"/>
      <c r="F165" s="242"/>
      <c r="G165" s="208"/>
      <c r="H165" s="208"/>
      <c r="I165" s="208"/>
      <c r="J165" s="208"/>
      <c r="K165" s="208"/>
      <c r="L165" s="208"/>
      <c r="M165" s="208"/>
      <c r="N165" s="208"/>
      <c r="O165" s="208"/>
      <c r="P165" s="208"/>
      <c r="Q165" s="208"/>
      <c r="R165" s="208"/>
      <c r="S165" s="208"/>
      <c r="T165" s="208"/>
      <c r="U165" s="208"/>
      <c r="V165" s="208"/>
      <c r="W165" s="208"/>
      <c r="X165" s="208"/>
      <c r="Y165" s="208"/>
      <c r="Z165" s="208"/>
    </row>
    <row r="166" spans="1:26">
      <c r="A166" s="242"/>
      <c r="B166" s="242"/>
      <c r="C166" s="242"/>
      <c r="D166" s="242"/>
      <c r="E166" s="242"/>
      <c r="F166" s="242"/>
      <c r="G166" s="208"/>
      <c r="H166" s="208"/>
      <c r="I166" s="208"/>
      <c r="J166" s="208"/>
      <c r="K166" s="208"/>
      <c r="L166" s="208"/>
      <c r="M166" s="208"/>
      <c r="N166" s="208"/>
      <c r="O166" s="208"/>
      <c r="P166" s="208"/>
      <c r="Q166" s="208"/>
      <c r="R166" s="208"/>
      <c r="S166" s="208"/>
      <c r="T166" s="208"/>
      <c r="U166" s="208"/>
      <c r="V166" s="208"/>
      <c r="W166" s="208"/>
      <c r="X166" s="208"/>
      <c r="Y166" s="208"/>
      <c r="Z166" s="208"/>
    </row>
    <row r="167" spans="1:26">
      <c r="A167" s="242"/>
      <c r="B167" s="242"/>
      <c r="C167" s="242"/>
      <c r="D167" s="242"/>
      <c r="E167" s="242"/>
      <c r="F167" s="242"/>
      <c r="G167" s="208"/>
      <c r="H167" s="208"/>
      <c r="I167" s="208"/>
      <c r="J167" s="208"/>
      <c r="K167" s="208"/>
      <c r="L167" s="208"/>
      <c r="M167" s="208"/>
      <c r="N167" s="208"/>
      <c r="O167" s="208"/>
      <c r="P167" s="208"/>
      <c r="Q167" s="208"/>
      <c r="R167" s="208"/>
      <c r="S167" s="208"/>
      <c r="T167" s="208"/>
      <c r="U167" s="208"/>
      <c r="V167" s="208"/>
      <c r="W167" s="208"/>
      <c r="X167" s="208"/>
      <c r="Y167" s="208"/>
      <c r="Z167" s="208"/>
    </row>
    <row r="168" spans="1:26">
      <c r="A168" s="242"/>
      <c r="B168" s="242"/>
      <c r="C168" s="242"/>
      <c r="D168" s="242"/>
      <c r="E168" s="242"/>
      <c r="F168" s="242"/>
      <c r="G168" s="208"/>
      <c r="H168" s="208"/>
      <c r="I168" s="208"/>
      <c r="J168" s="208"/>
      <c r="K168" s="208"/>
      <c r="L168" s="208"/>
      <c r="M168" s="208"/>
      <c r="N168" s="208"/>
      <c r="O168" s="208"/>
      <c r="P168" s="208"/>
      <c r="Q168" s="208"/>
      <c r="R168" s="208"/>
      <c r="S168" s="208"/>
      <c r="T168" s="208"/>
      <c r="U168" s="208"/>
      <c r="V168" s="208"/>
      <c r="W168" s="208"/>
      <c r="X168" s="208"/>
      <c r="Y168" s="208"/>
      <c r="Z168" s="208"/>
    </row>
    <row r="169" spans="1:26">
      <c r="A169" s="242"/>
      <c r="B169" s="242"/>
      <c r="C169" s="242"/>
      <c r="D169" s="242"/>
      <c r="E169" s="242"/>
      <c r="F169" s="242"/>
      <c r="G169" s="208"/>
      <c r="H169" s="208"/>
      <c r="I169" s="208"/>
      <c r="J169" s="208"/>
      <c r="K169" s="208"/>
      <c r="L169" s="208"/>
      <c r="M169" s="208"/>
      <c r="N169" s="208"/>
      <c r="O169" s="208"/>
      <c r="P169" s="208"/>
      <c r="Q169" s="208"/>
      <c r="R169" s="208"/>
      <c r="S169" s="208"/>
      <c r="T169" s="208"/>
      <c r="U169" s="208"/>
      <c r="V169" s="208"/>
      <c r="W169" s="208"/>
      <c r="X169" s="208"/>
      <c r="Y169" s="208"/>
      <c r="Z169" s="208"/>
    </row>
    <row r="170" spans="1:26">
      <c r="A170" s="242"/>
      <c r="B170" s="242"/>
      <c r="C170" s="242"/>
      <c r="D170" s="242"/>
      <c r="E170" s="242"/>
      <c r="F170" s="242"/>
      <c r="G170" s="208"/>
      <c r="H170" s="208"/>
      <c r="I170" s="208"/>
      <c r="J170" s="208"/>
      <c r="K170" s="208"/>
      <c r="L170" s="208"/>
      <c r="M170" s="208"/>
      <c r="N170" s="208"/>
      <c r="O170" s="208"/>
      <c r="P170" s="208"/>
      <c r="Q170" s="208"/>
      <c r="R170" s="208"/>
      <c r="S170" s="208"/>
      <c r="T170" s="208"/>
      <c r="U170" s="208"/>
      <c r="V170" s="208"/>
      <c r="W170" s="208"/>
      <c r="X170" s="208"/>
      <c r="Y170" s="208"/>
      <c r="Z170" s="208"/>
    </row>
    <row r="171" spans="1:26">
      <c r="A171" s="242"/>
      <c r="B171" s="242"/>
      <c r="C171" s="242"/>
      <c r="D171" s="242"/>
      <c r="E171" s="242"/>
      <c r="F171" s="242"/>
      <c r="G171" s="208"/>
      <c r="H171" s="208"/>
      <c r="I171" s="208"/>
      <c r="J171" s="208"/>
      <c r="K171" s="208"/>
      <c r="L171" s="208"/>
      <c r="M171" s="208"/>
      <c r="N171" s="208"/>
      <c r="O171" s="208"/>
      <c r="P171" s="208"/>
      <c r="Q171" s="208"/>
      <c r="R171" s="208"/>
      <c r="S171" s="208"/>
      <c r="T171" s="208"/>
      <c r="U171" s="208"/>
      <c r="V171" s="208"/>
      <c r="W171" s="208"/>
      <c r="X171" s="208"/>
      <c r="Y171" s="208"/>
      <c r="Z171" s="208"/>
    </row>
    <row r="172" spans="1:26">
      <c r="A172" s="242"/>
      <c r="B172" s="242"/>
      <c r="C172" s="242"/>
      <c r="D172" s="242"/>
      <c r="E172" s="242"/>
      <c r="F172" s="242"/>
      <c r="G172" s="208"/>
      <c r="H172" s="208"/>
      <c r="I172" s="208"/>
      <c r="J172" s="208"/>
      <c r="K172" s="208"/>
      <c r="L172" s="208"/>
      <c r="M172" s="208"/>
      <c r="N172" s="208"/>
      <c r="O172" s="208"/>
      <c r="P172" s="208"/>
      <c r="Q172" s="208"/>
      <c r="R172" s="208"/>
      <c r="S172" s="208"/>
      <c r="T172" s="208"/>
      <c r="U172" s="208"/>
      <c r="V172" s="208"/>
      <c r="W172" s="208"/>
      <c r="X172" s="208"/>
      <c r="Y172" s="208"/>
      <c r="Z172" s="208"/>
    </row>
    <row r="173" spans="1:26">
      <c r="A173" s="242"/>
      <c r="B173" s="242"/>
      <c r="C173" s="242"/>
      <c r="D173" s="242"/>
      <c r="E173" s="242"/>
      <c r="F173" s="242"/>
      <c r="G173" s="208"/>
      <c r="H173" s="208"/>
      <c r="I173" s="208"/>
      <c r="J173" s="208"/>
      <c r="K173" s="208"/>
      <c r="L173" s="208"/>
      <c r="M173" s="208"/>
      <c r="N173" s="208"/>
      <c r="O173" s="208"/>
      <c r="P173" s="208"/>
      <c r="Q173" s="208"/>
      <c r="R173" s="208"/>
      <c r="S173" s="208"/>
      <c r="T173" s="208"/>
      <c r="U173" s="208"/>
      <c r="V173" s="208"/>
      <c r="W173" s="208"/>
      <c r="X173" s="208"/>
      <c r="Y173" s="208"/>
      <c r="Z173" s="208"/>
    </row>
    <row r="174" spans="1:26">
      <c r="A174" s="242"/>
      <c r="B174" s="242"/>
      <c r="C174" s="242"/>
      <c r="D174" s="242"/>
      <c r="E174" s="242"/>
      <c r="F174" s="242"/>
      <c r="G174" s="208"/>
      <c r="H174" s="208"/>
      <c r="I174" s="208"/>
      <c r="J174" s="208"/>
      <c r="K174" s="208"/>
      <c r="L174" s="208"/>
      <c r="M174" s="208"/>
      <c r="N174" s="208"/>
      <c r="O174" s="208"/>
      <c r="P174" s="208"/>
      <c r="Q174" s="208"/>
      <c r="R174" s="208"/>
      <c r="S174" s="208"/>
      <c r="T174" s="208"/>
      <c r="U174" s="208"/>
      <c r="V174" s="208"/>
      <c r="W174" s="208"/>
      <c r="X174" s="208"/>
      <c r="Y174" s="208"/>
      <c r="Z174" s="208"/>
    </row>
    <row r="175" spans="1:26">
      <c r="A175" s="242"/>
      <c r="B175" s="242"/>
      <c r="C175" s="242"/>
      <c r="D175" s="242"/>
      <c r="E175" s="242"/>
      <c r="F175" s="242"/>
      <c r="G175" s="208"/>
      <c r="H175" s="208"/>
      <c r="I175" s="208"/>
      <c r="J175" s="208"/>
      <c r="K175" s="208"/>
      <c r="L175" s="208"/>
      <c r="M175" s="208"/>
      <c r="N175" s="208"/>
      <c r="O175" s="208"/>
      <c r="P175" s="208"/>
      <c r="Q175" s="208"/>
      <c r="R175" s="208"/>
      <c r="S175" s="208"/>
      <c r="T175" s="208"/>
      <c r="U175" s="208"/>
      <c r="V175" s="208"/>
      <c r="W175" s="208"/>
      <c r="X175" s="208"/>
      <c r="Y175" s="208"/>
      <c r="Z175" s="208"/>
    </row>
    <row r="176" spans="1:26">
      <c r="A176" s="242"/>
      <c r="B176" s="242"/>
      <c r="C176" s="242"/>
      <c r="D176" s="242"/>
      <c r="E176" s="242"/>
      <c r="F176" s="242"/>
      <c r="G176" s="208"/>
      <c r="H176" s="208"/>
      <c r="I176" s="208"/>
      <c r="J176" s="208"/>
      <c r="K176" s="208"/>
      <c r="L176" s="208"/>
      <c r="M176" s="208"/>
      <c r="N176" s="208"/>
      <c r="O176" s="208"/>
      <c r="P176" s="208"/>
      <c r="Q176" s="208"/>
      <c r="R176" s="208"/>
      <c r="S176" s="208"/>
      <c r="T176" s="208"/>
      <c r="U176" s="208"/>
      <c r="V176" s="208"/>
      <c r="W176" s="208"/>
      <c r="X176" s="208"/>
      <c r="Y176" s="208"/>
      <c r="Z176" s="208"/>
    </row>
    <row r="177" spans="1:26">
      <c r="A177" s="242"/>
      <c r="B177" s="242"/>
      <c r="C177" s="242"/>
      <c r="D177" s="242"/>
      <c r="E177" s="242"/>
      <c r="F177" s="242"/>
      <c r="G177" s="208"/>
      <c r="H177" s="208"/>
      <c r="I177" s="208"/>
      <c r="J177" s="208"/>
      <c r="K177" s="208"/>
      <c r="L177" s="208"/>
      <c r="M177" s="208"/>
      <c r="N177" s="208"/>
      <c r="O177" s="208"/>
      <c r="P177" s="208"/>
      <c r="Q177" s="208"/>
      <c r="R177" s="208"/>
      <c r="S177" s="208"/>
      <c r="T177" s="208"/>
      <c r="U177" s="208"/>
      <c r="V177" s="208"/>
      <c r="W177" s="208"/>
      <c r="X177" s="208"/>
      <c r="Y177" s="208"/>
      <c r="Z177" s="208"/>
    </row>
    <row r="178" spans="1:26">
      <c r="A178" s="242"/>
      <c r="B178" s="242"/>
      <c r="C178" s="242"/>
      <c r="D178" s="242"/>
      <c r="E178" s="242"/>
      <c r="F178" s="242"/>
      <c r="G178" s="208"/>
      <c r="H178" s="208"/>
      <c r="I178" s="208"/>
      <c r="J178" s="208"/>
      <c r="K178" s="208"/>
      <c r="L178" s="208"/>
      <c r="M178" s="208"/>
      <c r="N178" s="208"/>
      <c r="O178" s="208"/>
      <c r="P178" s="208"/>
      <c r="Q178" s="208"/>
      <c r="R178" s="208"/>
      <c r="S178" s="208"/>
      <c r="T178" s="208"/>
      <c r="U178" s="208"/>
      <c r="V178" s="208"/>
      <c r="W178" s="208"/>
      <c r="X178" s="208"/>
      <c r="Y178" s="208"/>
      <c r="Z178" s="208"/>
    </row>
    <row r="179" spans="1:26">
      <c r="A179" s="242"/>
      <c r="B179" s="242"/>
      <c r="C179" s="242"/>
      <c r="D179" s="242"/>
      <c r="E179" s="242"/>
      <c r="F179" s="242"/>
      <c r="G179" s="208"/>
      <c r="H179" s="208"/>
      <c r="I179" s="208"/>
      <c r="J179" s="208"/>
      <c r="K179" s="208"/>
      <c r="L179" s="208"/>
      <c r="M179" s="208"/>
      <c r="N179" s="208"/>
      <c r="O179" s="208"/>
      <c r="P179" s="208"/>
      <c r="Q179" s="208"/>
      <c r="R179" s="208"/>
      <c r="S179" s="208"/>
      <c r="T179" s="208"/>
      <c r="U179" s="208"/>
      <c r="V179" s="208"/>
      <c r="W179" s="208"/>
      <c r="X179" s="208"/>
      <c r="Y179" s="208"/>
      <c r="Z179" s="208"/>
    </row>
    <row r="180" spans="1:26">
      <c r="A180" s="242"/>
      <c r="B180" s="242"/>
      <c r="C180" s="242"/>
      <c r="D180" s="242"/>
      <c r="E180" s="242"/>
      <c r="F180" s="242"/>
      <c r="G180" s="208"/>
      <c r="H180" s="208"/>
      <c r="I180" s="208"/>
      <c r="J180" s="208"/>
      <c r="K180" s="208"/>
      <c r="L180" s="208"/>
      <c r="M180" s="208"/>
      <c r="N180" s="208"/>
      <c r="O180" s="208"/>
      <c r="P180" s="208"/>
      <c r="Q180" s="208"/>
      <c r="R180" s="208"/>
      <c r="S180" s="208"/>
      <c r="T180" s="208"/>
      <c r="U180" s="208"/>
      <c r="V180" s="208"/>
      <c r="W180" s="208"/>
      <c r="X180" s="208"/>
      <c r="Y180" s="208"/>
      <c r="Z180" s="208"/>
    </row>
    <row r="181" spans="1:26">
      <c r="A181" s="242"/>
      <c r="B181" s="242"/>
      <c r="C181" s="242"/>
      <c r="D181" s="242"/>
      <c r="E181" s="242"/>
      <c r="F181" s="242"/>
      <c r="G181" s="208"/>
      <c r="H181" s="208"/>
      <c r="I181" s="208"/>
      <c r="J181" s="208"/>
      <c r="K181" s="208"/>
      <c r="L181" s="208"/>
      <c r="M181" s="208"/>
      <c r="N181" s="208"/>
      <c r="O181" s="208"/>
      <c r="P181" s="208"/>
      <c r="Q181" s="208"/>
      <c r="R181" s="208"/>
      <c r="S181" s="208"/>
      <c r="T181" s="208"/>
      <c r="U181" s="208"/>
      <c r="V181" s="208"/>
      <c r="W181" s="208"/>
      <c r="X181" s="208"/>
      <c r="Y181" s="208"/>
      <c r="Z181" s="208"/>
    </row>
    <row r="182" spans="1:26">
      <c r="A182" s="242"/>
      <c r="B182" s="242"/>
      <c r="C182" s="242"/>
      <c r="D182" s="242"/>
      <c r="E182" s="242"/>
      <c r="F182" s="242"/>
      <c r="G182" s="208"/>
      <c r="H182" s="208"/>
      <c r="I182" s="208"/>
      <c r="J182" s="208"/>
      <c r="K182" s="208"/>
      <c r="L182" s="208"/>
      <c r="M182" s="208"/>
      <c r="N182" s="208"/>
      <c r="O182" s="208"/>
      <c r="P182" s="208"/>
      <c r="Q182" s="208"/>
      <c r="R182" s="208"/>
      <c r="S182" s="208"/>
      <c r="T182" s="208"/>
      <c r="U182" s="208"/>
      <c r="V182" s="208"/>
      <c r="W182" s="208"/>
      <c r="X182" s="208"/>
      <c r="Y182" s="208"/>
      <c r="Z182" s="208"/>
    </row>
    <row r="183" spans="1:26">
      <c r="A183" s="242"/>
      <c r="B183" s="242"/>
      <c r="C183" s="242"/>
      <c r="D183" s="242"/>
      <c r="E183" s="242"/>
      <c r="F183" s="242"/>
      <c r="G183" s="208"/>
      <c r="H183" s="208"/>
      <c r="I183" s="208"/>
      <c r="J183" s="208"/>
      <c r="K183" s="208"/>
      <c r="L183" s="208"/>
      <c r="M183" s="208"/>
      <c r="N183" s="208"/>
      <c r="O183" s="208"/>
      <c r="P183" s="208"/>
      <c r="Q183" s="208"/>
      <c r="R183" s="208"/>
      <c r="S183" s="208"/>
      <c r="T183" s="208"/>
      <c r="U183" s="208"/>
      <c r="V183" s="208"/>
      <c r="W183" s="208"/>
      <c r="X183" s="208"/>
      <c r="Y183" s="208"/>
      <c r="Z183" s="208"/>
    </row>
    <row r="184" spans="1:26">
      <c r="A184" s="242"/>
      <c r="B184" s="242"/>
      <c r="C184" s="242"/>
      <c r="D184" s="242"/>
      <c r="E184" s="242"/>
      <c r="F184" s="242"/>
      <c r="G184" s="208"/>
      <c r="H184" s="208"/>
      <c r="I184" s="208"/>
      <c r="J184" s="208"/>
      <c r="K184" s="208"/>
      <c r="L184" s="208"/>
      <c r="M184" s="208"/>
      <c r="N184" s="208"/>
      <c r="O184" s="208"/>
      <c r="P184" s="208"/>
      <c r="Q184" s="208"/>
      <c r="R184" s="208"/>
      <c r="S184" s="208"/>
      <c r="T184" s="208"/>
      <c r="U184" s="208"/>
      <c r="V184" s="208"/>
      <c r="W184" s="208"/>
      <c r="X184" s="208"/>
      <c r="Y184" s="208"/>
      <c r="Z184" s="208"/>
    </row>
    <row r="185" spans="1:26">
      <c r="A185" s="242"/>
      <c r="B185" s="242"/>
      <c r="C185" s="242"/>
      <c r="D185" s="242"/>
      <c r="E185" s="242"/>
      <c r="F185" s="242"/>
      <c r="G185" s="208"/>
      <c r="H185" s="208"/>
      <c r="I185" s="208"/>
      <c r="J185" s="208"/>
      <c r="K185" s="208"/>
      <c r="L185" s="208"/>
      <c r="M185" s="208"/>
      <c r="N185" s="208"/>
      <c r="O185" s="208"/>
      <c r="P185" s="208"/>
      <c r="Q185" s="208"/>
      <c r="R185" s="208"/>
      <c r="S185" s="208"/>
      <c r="T185" s="208"/>
      <c r="U185" s="208"/>
      <c r="V185" s="208"/>
      <c r="W185" s="208"/>
      <c r="X185" s="208"/>
      <c r="Y185" s="208"/>
      <c r="Z185" s="208"/>
    </row>
    <row r="186" spans="1:26">
      <c r="A186" s="242"/>
      <c r="B186" s="242"/>
      <c r="C186" s="242"/>
      <c r="D186" s="242"/>
      <c r="E186" s="242"/>
      <c r="F186" s="242"/>
      <c r="G186" s="208"/>
      <c r="H186" s="208"/>
      <c r="I186" s="208"/>
      <c r="J186" s="208"/>
      <c r="K186" s="208"/>
      <c r="L186" s="208"/>
      <c r="M186" s="208"/>
      <c r="N186" s="208"/>
      <c r="O186" s="208"/>
      <c r="P186" s="208"/>
      <c r="Q186" s="208"/>
      <c r="R186" s="208"/>
      <c r="S186" s="208"/>
      <c r="T186" s="208"/>
      <c r="U186" s="208"/>
      <c r="V186" s="208"/>
      <c r="W186" s="208"/>
      <c r="X186" s="208"/>
      <c r="Y186" s="208"/>
      <c r="Z186" s="208"/>
    </row>
    <row r="187" spans="1:26">
      <c r="A187" s="242"/>
      <c r="B187" s="242"/>
      <c r="C187" s="242"/>
      <c r="D187" s="242"/>
      <c r="E187" s="242"/>
      <c r="F187" s="242"/>
      <c r="G187" s="208"/>
      <c r="H187" s="208"/>
      <c r="I187" s="208"/>
      <c r="J187" s="208"/>
      <c r="K187" s="208"/>
      <c r="L187" s="208"/>
      <c r="M187" s="208"/>
      <c r="N187" s="208"/>
      <c r="O187" s="208"/>
      <c r="P187" s="208"/>
      <c r="Q187" s="208"/>
      <c r="R187" s="208"/>
      <c r="S187" s="208"/>
      <c r="T187" s="208"/>
      <c r="U187" s="208"/>
      <c r="V187" s="208"/>
      <c r="W187" s="208"/>
      <c r="X187" s="208"/>
      <c r="Y187" s="208"/>
      <c r="Z187" s="208"/>
    </row>
    <row r="188" spans="1:26">
      <c r="A188" s="242"/>
      <c r="B188" s="242"/>
      <c r="C188" s="242"/>
      <c r="D188" s="242"/>
      <c r="E188" s="242"/>
      <c r="F188" s="242"/>
      <c r="G188" s="208"/>
      <c r="H188" s="208"/>
      <c r="I188" s="208"/>
      <c r="J188" s="208"/>
      <c r="K188" s="208"/>
      <c r="L188" s="208"/>
      <c r="M188" s="208"/>
      <c r="N188" s="208"/>
      <c r="O188" s="208"/>
      <c r="P188" s="208"/>
      <c r="Q188" s="208"/>
      <c r="R188" s="208"/>
      <c r="S188" s="208"/>
      <c r="T188" s="208"/>
      <c r="U188" s="208"/>
      <c r="V188" s="208"/>
      <c r="W188" s="208"/>
      <c r="X188" s="208"/>
      <c r="Y188" s="208"/>
      <c r="Z188" s="208"/>
    </row>
    <row r="189" spans="1:26">
      <c r="A189" s="242"/>
      <c r="B189" s="242"/>
      <c r="C189" s="242"/>
      <c r="D189" s="242"/>
      <c r="E189" s="242"/>
      <c r="F189" s="242"/>
      <c r="G189" s="208"/>
      <c r="H189" s="208"/>
      <c r="I189" s="208"/>
      <c r="J189" s="208"/>
      <c r="K189" s="208"/>
      <c r="L189" s="208"/>
      <c r="M189" s="208"/>
      <c r="N189" s="208"/>
      <c r="O189" s="208"/>
      <c r="P189" s="208"/>
      <c r="Q189" s="208"/>
      <c r="R189" s="208"/>
      <c r="S189" s="208"/>
      <c r="T189" s="208"/>
      <c r="U189" s="208"/>
      <c r="V189" s="208"/>
      <c r="W189" s="208"/>
      <c r="X189" s="208"/>
      <c r="Y189" s="208"/>
      <c r="Z189" s="208"/>
    </row>
    <row r="190" spans="1:26">
      <c r="A190" s="242"/>
      <c r="B190" s="242"/>
      <c r="C190" s="242"/>
      <c r="D190" s="242"/>
      <c r="E190" s="242"/>
      <c r="F190" s="242"/>
      <c r="G190" s="208"/>
      <c r="H190" s="208"/>
      <c r="I190" s="208"/>
      <c r="J190" s="208"/>
      <c r="K190" s="208"/>
      <c r="L190" s="208"/>
      <c r="M190" s="208"/>
      <c r="N190" s="208"/>
      <c r="O190" s="208"/>
      <c r="P190" s="208"/>
      <c r="Q190" s="208"/>
      <c r="R190" s="208"/>
      <c r="S190" s="208"/>
      <c r="T190" s="208"/>
      <c r="U190" s="208"/>
      <c r="V190" s="208"/>
      <c r="W190" s="208"/>
      <c r="X190" s="208"/>
      <c r="Y190" s="208"/>
      <c r="Z190" s="208"/>
    </row>
    <row r="191" spans="1:26">
      <c r="A191" s="242"/>
      <c r="B191" s="242"/>
      <c r="C191" s="242"/>
      <c r="D191" s="242"/>
      <c r="E191" s="242"/>
      <c r="F191" s="242"/>
      <c r="G191" s="208"/>
      <c r="H191" s="208"/>
      <c r="I191" s="208"/>
      <c r="J191" s="208"/>
      <c r="K191" s="208"/>
      <c r="L191" s="208"/>
      <c r="M191" s="208"/>
      <c r="N191" s="208"/>
      <c r="O191" s="208"/>
      <c r="P191" s="208"/>
      <c r="Q191" s="208"/>
      <c r="R191" s="208"/>
      <c r="S191" s="208"/>
      <c r="T191" s="208"/>
      <c r="U191" s="208"/>
      <c r="V191" s="208"/>
      <c r="W191" s="208"/>
      <c r="X191" s="208"/>
      <c r="Y191" s="208"/>
      <c r="Z191" s="208"/>
    </row>
    <row r="192" spans="1:26">
      <c r="A192" s="242"/>
      <c r="B192" s="242"/>
      <c r="C192" s="242"/>
      <c r="D192" s="242"/>
      <c r="E192" s="242"/>
      <c r="F192" s="242"/>
      <c r="G192" s="208"/>
      <c r="H192" s="208"/>
      <c r="I192" s="208"/>
      <c r="J192" s="208"/>
      <c r="K192" s="208"/>
      <c r="L192" s="208"/>
      <c r="M192" s="208"/>
      <c r="N192" s="208"/>
      <c r="O192" s="208"/>
      <c r="P192" s="208"/>
      <c r="Q192" s="208"/>
      <c r="R192" s="208"/>
      <c r="S192" s="208"/>
      <c r="T192" s="208"/>
      <c r="U192" s="208"/>
      <c r="V192" s="208"/>
      <c r="W192" s="208"/>
      <c r="X192" s="208"/>
      <c r="Y192" s="208"/>
      <c r="Z192" s="208"/>
    </row>
  </sheetData>
  <conditionalFormatting sqref="B13:E23">
    <cfRule type="expression" dxfId="101" priority="5">
      <formula>$D13="No"</formula>
    </cfRule>
  </conditionalFormatting>
  <conditionalFormatting sqref="D55:D57">
    <cfRule type="containsText" dxfId="100" priority="13" operator="containsText" text="Action (New)">
      <formula>NOT(ISERROR(SEARCH("Action (New)",D55)))</formula>
    </cfRule>
  </conditionalFormatting>
  <conditionalFormatting sqref="G25:G51">
    <cfRule type="cellIs" dxfId="99" priority="1" operator="equal">
      <formula>"Low"</formula>
    </cfRule>
    <cfRule type="cellIs" dxfId="98" priority="2" operator="equal">
      <formula>"Medium"</formula>
    </cfRule>
    <cfRule type="cellIs" dxfId="97" priority="3" operator="equal">
      <formula>"High"</formula>
    </cfRule>
    <cfRule type="cellIs" dxfId="96" priority="4" operator="equal">
      <formula>"TOP"</formula>
    </cfRule>
  </conditionalFormatting>
  <conditionalFormatting sqref="G55:G57">
    <cfRule type="containsText" dxfId="95" priority="6" operator="containsText" text="2">
      <formula>NOT(ISERROR(SEARCH("2",G55)))</formula>
    </cfRule>
    <cfRule type="containsText" dxfId="94" priority="7" operator="containsText" text="TOP">
      <formula>NOT(ISERROR(SEARCH("TOP",G55)))</formula>
    </cfRule>
    <cfRule type="cellIs" dxfId="93" priority="8" operator="equal">
      <formula>TOP</formula>
    </cfRule>
    <cfRule type="cellIs" dxfId="92" priority="9" operator="equal">
      <formula>4</formula>
    </cfRule>
    <cfRule type="cellIs" dxfId="91" priority="10" operator="equal">
      <formula>3</formula>
    </cfRule>
    <cfRule type="cellIs" dxfId="90" priority="11" operator="equal">
      <formula>1</formula>
    </cfRule>
    <cfRule type="cellIs" dxfId="89" priority="12" operator="equal">
      <formula>2</formula>
    </cfRule>
  </conditionalFormatting>
  <dataValidations count="19">
    <dataValidation type="custom" allowBlank="1" showInputMessage="1" showErrorMessage="1" errorTitle="MAX LENGHT 250" promptTitle="MAX LENGHT 250" sqref="B40" xr:uid="{C120EE27-E87A-4A21-9E66-015CCC8B880F}">
      <formula1>LEN(A13)&lt;=250</formula1>
    </dataValidation>
    <dataValidation type="custom" allowBlank="1" showInputMessage="1" showErrorMessage="1" errorTitle="MAX LENGHT 250" promptTitle="MAX LENGHT 250" sqref="B28:B31" xr:uid="{BBEB634D-D544-4EDF-B659-B7FB2E3CCD67}">
      <formula1>LEN(A5)&lt;=250</formula1>
    </dataValidation>
    <dataValidation type="custom" allowBlank="1" showInputMessage="1" showErrorMessage="1" errorTitle="MAX LENGHT 250" promptTitle="MAX LENGHT 250" sqref="C36" xr:uid="{C93998F0-DB5F-432A-A869-7D2E81E03D59}">
      <formula1>LEN(B34)&lt;=250</formula1>
    </dataValidation>
    <dataValidation type="custom" allowBlank="1" showInputMessage="1" showErrorMessage="1" errorTitle="MAX LENGHT 250" promptTitle="MAX LENGHT 250" sqref="B32" xr:uid="{3BB4724C-B6CD-4BD0-93FA-D63B73A1745F}">
      <formula1>LEN(A11)&lt;=250</formula1>
    </dataValidation>
    <dataValidation type="custom" allowBlank="1" showInputMessage="1" showErrorMessage="1" errorTitle="MAX LENGHT 250" promptTitle="MAX LENGHT 250" sqref="B36:B51" xr:uid="{58A7816B-EB42-422A-B2F9-1CBD1E46D7C0}">
      <formula1>LEN(#REF!)&lt;=250</formula1>
    </dataValidation>
    <dataValidation type="custom" allowBlank="1" showInputMessage="1" showErrorMessage="1" errorTitle="MAX LENGHT 250" promptTitle="MAX LENGHT 250" sqref="B25:B27" xr:uid="{4776BD2D-57C2-461B-92B3-F8EC17EF6966}">
      <formula1>LEN(A1)&lt;=250</formula1>
    </dataValidation>
    <dataValidation type="list" allowBlank="1" showInputMessage="1" showErrorMessage="1" sqref="G54:G57 G25:G46" xr:uid="{3C990840-8BE2-4588-8ED2-88D0838FA822}">
      <formula1>"Low, Medium, High, TOP"</formula1>
    </dataValidation>
    <dataValidation type="date" operator="greaterThan" allowBlank="1" showInputMessage="1" showErrorMessage="1" sqref="M54:N57 H54:H57 M25:N46" xr:uid="{95460574-60CE-4C06-8302-E0866D36129F}">
      <formula1>45292</formula1>
    </dataValidation>
    <dataValidation type="list" allowBlank="1" showInputMessage="1" showErrorMessage="1" sqref="H45" xr:uid="{3A993768-D394-454D-8643-2B384C771CCB}">
      <formula1>"Green, Yellow, Red"</formula1>
    </dataValidation>
    <dataValidation type="list" allowBlank="1" showInputMessage="1" showErrorMessage="1" sqref="L47:L52" xr:uid="{EEB38D27-9A6B-462E-92AA-89660A7DFFB6}">
      <formula1>INDIRECT("Data_lists!Owner_org[Owner org]")</formula1>
    </dataValidation>
    <dataValidation type="list" allowBlank="1" showInputMessage="1" showErrorMessage="1" sqref="E24 M47:N52" xr:uid="{3C6F1FF1-DE38-4C6F-AD88-54F104AA6AAA}">
      <formula1>INDIRECT("Owner_List[Owner Name]")</formula1>
    </dataValidation>
    <dataValidation type="list" allowBlank="1" showInputMessage="1" showErrorMessage="1" sqref="O47:O52" xr:uid="{9E7A13A8-2020-4792-954F-3E4F4D899EDE}">
      <formula1>INDIRECT("Data_lists!discipline_list[DISCIPLINE]")</formula1>
    </dataValidation>
    <dataValidation type="list" allowBlank="1" showInputMessage="1" showErrorMessage="1" sqref="G47:G52" xr:uid="{2C713EB3-44FB-4F09-BE54-EF0E3C87C901}">
      <formula1>"PRODUCTION, PRE-CONSTRUCTION"</formula1>
    </dataValidation>
    <dataValidation type="list" allowBlank="1" showInputMessage="1" showErrorMessage="1" sqref="D54:D57 D27 D39:D41 D30:D36" xr:uid="{40D12348-A4CB-46F1-93E6-7A627C5C8CD4}">
      <formula1>"OPEN, CLOSED"</formula1>
    </dataValidation>
    <dataValidation type="list" allowBlank="1" showInputMessage="1" showErrorMessage="1" sqref="C54:C57 C47:C52 C45 C27 C39:C41 C30:C35" xr:uid="{16E606EF-BCD0-418F-A5D7-07DA20F825E3}">
      <formula1>"ACTION, INFO, ACTION (New), INFO (New)"</formula1>
    </dataValidation>
    <dataValidation type="list" allowBlank="1" showInputMessage="1" showErrorMessage="1" sqref="P25" xr:uid="{7967C471-535C-4338-8736-AF8DFEC01B9C}">
      <formula1>"PM"</formula1>
    </dataValidation>
    <dataValidation type="list" allowBlank="1" showInputMessage="1" showErrorMessage="1" sqref="F24:H24 D53 D58:D61" xr:uid="{DD1682EE-4597-4905-B591-DE624587D17B}">
      <formula1>#REF!</formula1>
    </dataValidation>
    <dataValidation type="custom" allowBlank="1" showInputMessage="1" showErrorMessage="1" errorTitle="MAX LENGHT 250" promptTitle="MAX LENGHT 250" sqref="B33:B35" xr:uid="{A430B00E-5884-4412-A32D-B9C51375B743}">
      <formula1>LEN(A11)&lt;=250</formula1>
    </dataValidation>
    <dataValidation type="list" allowBlank="1" showInputMessage="1" showErrorMessage="1" sqref="D13:D23" xr:uid="{0CD61E4D-44E3-4BB5-861B-782272123A9A}">
      <formula1>"Yes, No"</formula1>
    </dataValidation>
  </dataValidations>
  <pageMargins left="0.25" right="0.25" top="0.75" bottom="0.75" header="0.3" footer="0.3"/>
  <pageSetup paperSize="9" scale="28" fitToHeight="0" orientation="landscape" r:id="rId1"/>
  <tableParts count="2">
    <tablePart r:id="rId2"/>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31742ADB-C120-44BE-8D1E-503FEB7E2261}">
          <x14:formula1>
            <xm:f>DELEGATE!$A$2:$A$8</xm:f>
          </x14:formula1>
          <xm:sqref>O54:O57 O25:O46</xm:sqref>
        </x14:dataValidation>
        <x14:dataValidation type="list" allowBlank="1" showInputMessage="1" showErrorMessage="1" xr:uid="{8FE64DED-4568-4FBE-B463-DE5A7107AE18}">
          <x14:formula1>
            <xm:f>DISCIPLINE!$A$2:$A$46</xm:f>
          </x14:formula1>
          <xm:sqref>L54:L57 L25:L46</xm:sqref>
        </x14:dataValidation>
        <x14:dataValidation type="list" allowBlank="1" showInputMessage="1" showErrorMessage="1" xr:uid="{DA9FED45-4528-4730-9FCB-AC7755DC8166}">
          <x14:formula1>
            <xm:f>'OWNER LIST'!$A$2:$A$220</xm:f>
          </x14:formula1>
          <xm:sqref>J54:K57 E12:E23 J25:K51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4888-8F95-4436-B956-23EF4E5DAA12}">
  <dimension ref="A1:C15"/>
  <sheetViews>
    <sheetView workbookViewId="0">
      <selection activeCell="C2" sqref="C2"/>
    </sheetView>
  </sheetViews>
  <sheetFormatPr defaultRowHeight="14.45"/>
  <cols>
    <col min="1" max="1" width="3.42578125" customWidth="1"/>
    <col min="2" max="2" width="96.42578125" bestFit="1" customWidth="1"/>
  </cols>
  <sheetData>
    <row r="1" spans="1:3">
      <c r="A1" t="s">
        <v>682</v>
      </c>
      <c r="C1" t="s">
        <v>683</v>
      </c>
    </row>
    <row r="2" spans="1:3">
      <c r="A2">
        <v>1</v>
      </c>
      <c r="B2" t="s">
        <v>684</v>
      </c>
    </row>
    <row r="3" spans="1:3">
      <c r="A3">
        <v>2</v>
      </c>
      <c r="B3" t="s">
        <v>685</v>
      </c>
    </row>
    <row r="4" spans="1:3">
      <c r="A4">
        <v>3</v>
      </c>
      <c r="B4" t="s">
        <v>686</v>
      </c>
    </row>
    <row r="5" spans="1:3">
      <c r="A5">
        <v>4</v>
      </c>
      <c r="B5" t="s">
        <v>687</v>
      </c>
    </row>
    <row r="6" spans="1:3">
      <c r="A6">
        <v>5</v>
      </c>
      <c r="B6" t="s">
        <v>688</v>
      </c>
    </row>
    <row r="7" spans="1:3">
      <c r="A7" t="s">
        <v>4</v>
      </c>
    </row>
    <row r="8" spans="1:3">
      <c r="A8" t="s">
        <v>689</v>
      </c>
    </row>
    <row r="9" spans="1:3">
      <c r="A9">
        <v>1</v>
      </c>
      <c r="B9" t="s">
        <v>690</v>
      </c>
    </row>
    <row r="10" spans="1:3">
      <c r="A10">
        <v>2</v>
      </c>
      <c r="B10" t="s">
        <v>691</v>
      </c>
    </row>
    <row r="11" spans="1:3">
      <c r="A11">
        <v>3</v>
      </c>
      <c r="B11" t="s">
        <v>692</v>
      </c>
    </row>
    <row r="12" spans="1:3">
      <c r="A12">
        <v>4</v>
      </c>
      <c r="B12" t="s">
        <v>693</v>
      </c>
    </row>
    <row r="13" spans="1:3">
      <c r="A13">
        <v>5</v>
      </c>
      <c r="B13" t="s">
        <v>694</v>
      </c>
    </row>
    <row r="14" spans="1:3">
      <c r="A14">
        <v>6</v>
      </c>
      <c r="B14" t="s">
        <v>695</v>
      </c>
    </row>
    <row r="15" spans="1:3">
      <c r="A15">
        <v>7</v>
      </c>
      <c r="B15" t="s">
        <v>696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A59F9-50DF-4B62-AD74-071AE49AA1EE}">
  <dimension ref="A1:Z226"/>
  <sheetViews>
    <sheetView topLeftCell="A203" zoomScale="80" zoomScaleNormal="80" workbookViewId="0">
      <selection activeCell="A210" sqref="A210"/>
    </sheetView>
  </sheetViews>
  <sheetFormatPr defaultRowHeight="14.45"/>
  <cols>
    <col min="1" max="1" width="17.5703125" bestFit="1" customWidth="1"/>
    <col min="2" max="2" width="18.140625" bestFit="1" customWidth="1"/>
    <col min="3" max="3" width="16.85546875" bestFit="1" customWidth="1"/>
    <col min="4" max="4" width="10.7109375" bestFit="1" customWidth="1"/>
    <col min="5" max="5" width="37" bestFit="1" customWidth="1"/>
    <col min="6" max="6" width="21.140625" bestFit="1" customWidth="1"/>
    <col min="7" max="7" width="12" bestFit="1" customWidth="1"/>
    <col min="8" max="8" width="15.28515625" bestFit="1" customWidth="1"/>
    <col min="9" max="9" width="18.7109375" bestFit="1" customWidth="1"/>
    <col min="10" max="11" width="18.42578125" bestFit="1" customWidth="1"/>
    <col min="12" max="12" width="13.7109375" bestFit="1" customWidth="1"/>
    <col min="13" max="13" width="17.28515625" bestFit="1" customWidth="1"/>
    <col min="14" max="14" width="17" bestFit="1" customWidth="1"/>
    <col min="15" max="15" width="18.140625" bestFit="1" customWidth="1"/>
    <col min="16" max="16" width="7.5703125" bestFit="1" customWidth="1"/>
    <col min="17" max="17" width="11.140625" bestFit="1" customWidth="1"/>
    <col min="18" max="18" width="12.42578125" bestFit="1" customWidth="1"/>
    <col min="19" max="19" width="18.85546875" bestFit="1" customWidth="1"/>
    <col min="20" max="20" width="7.28515625" bestFit="1" customWidth="1"/>
    <col min="21" max="21" width="28.7109375" bestFit="1" customWidth="1"/>
    <col min="22" max="22" width="25.85546875" bestFit="1" customWidth="1"/>
    <col min="23" max="23" width="13.42578125" bestFit="1" customWidth="1"/>
  </cols>
  <sheetData>
    <row r="1" spans="1:24" s="6" customFormat="1" ht="15.6">
      <c r="A1" s="21">
        <v>6</v>
      </c>
      <c r="B1" s="21" t="s">
        <v>74</v>
      </c>
      <c r="C1" s="21"/>
      <c r="D1" s="21" t="s">
        <v>4</v>
      </c>
      <c r="E1" s="21" t="s">
        <v>4</v>
      </c>
      <c r="F1" s="21" t="s">
        <v>4</v>
      </c>
      <c r="G1" s="21"/>
      <c r="H1" s="21"/>
      <c r="I1" s="21"/>
      <c r="J1" s="21" t="s">
        <v>4</v>
      </c>
      <c r="K1" s="21" t="s">
        <v>4</v>
      </c>
      <c r="L1" s="21" t="s">
        <v>4</v>
      </c>
      <c r="M1" s="21" t="s">
        <v>4</v>
      </c>
      <c r="N1" s="21" t="s">
        <v>4</v>
      </c>
      <c r="O1" s="22" t="s">
        <v>4</v>
      </c>
      <c r="P1" s="10" t="s">
        <v>4</v>
      </c>
      <c r="Q1" s="10" t="s">
        <v>4</v>
      </c>
      <c r="R1" s="10" t="s">
        <v>4</v>
      </c>
      <c r="S1" s="10" t="s">
        <v>4</v>
      </c>
    </row>
    <row r="2" spans="1:24" ht="31.15">
      <c r="A2" s="7" t="s">
        <v>47</v>
      </c>
      <c r="B2" s="8" t="s">
        <v>48</v>
      </c>
      <c r="C2" s="8" t="s">
        <v>49</v>
      </c>
      <c r="D2" s="7" t="s">
        <v>50</v>
      </c>
      <c r="E2" s="8" t="s">
        <v>51</v>
      </c>
      <c r="F2" s="7" t="s">
        <v>52</v>
      </c>
      <c r="G2" s="20" t="s">
        <v>53</v>
      </c>
      <c r="H2" s="9" t="s">
        <v>54</v>
      </c>
      <c r="I2" s="15" t="s">
        <v>55</v>
      </c>
      <c r="J2" s="7" t="s">
        <v>56</v>
      </c>
      <c r="K2" s="7" t="s">
        <v>57</v>
      </c>
      <c r="L2" s="7" t="s">
        <v>58</v>
      </c>
      <c r="M2" s="9" t="s">
        <v>59</v>
      </c>
      <c r="N2" s="9" t="s">
        <v>60</v>
      </c>
      <c r="O2" s="7" t="s">
        <v>61</v>
      </c>
      <c r="P2" s="7" t="s">
        <v>62</v>
      </c>
      <c r="Q2" s="7" t="s">
        <v>63</v>
      </c>
      <c r="R2" s="7" t="s">
        <v>64</v>
      </c>
      <c r="S2" s="7" t="s">
        <v>65</v>
      </c>
      <c r="T2" s="7" t="s">
        <v>697</v>
      </c>
      <c r="U2" s="7" t="s">
        <v>67</v>
      </c>
      <c r="V2" s="7" t="s">
        <v>68</v>
      </c>
      <c r="W2" s="7" t="s">
        <v>8</v>
      </c>
      <c r="X2" s="7" t="s">
        <v>69</v>
      </c>
    </row>
    <row r="3" spans="1:24" ht="27">
      <c r="A3" s="16" t="s">
        <v>698</v>
      </c>
      <c r="B3" s="16" t="s">
        <v>699</v>
      </c>
      <c r="C3" s="17"/>
      <c r="D3" s="16" t="s">
        <v>74</v>
      </c>
      <c r="E3" s="16" t="s">
        <v>700</v>
      </c>
      <c r="F3" s="16"/>
      <c r="G3" s="2">
        <v>0</v>
      </c>
      <c r="H3" s="4"/>
      <c r="I3" s="3"/>
      <c r="J3" s="11"/>
      <c r="K3" s="2"/>
      <c r="L3" s="12"/>
      <c r="M3" s="4"/>
      <c r="N3" s="5" t="s">
        <v>701</v>
      </c>
      <c r="O3" s="13"/>
      <c r="P3" s="13"/>
      <c r="Q3" s="13"/>
      <c r="R3" s="13"/>
      <c r="S3" s="13" t="s">
        <v>700</v>
      </c>
      <c r="T3" s="13">
        <v>118</v>
      </c>
      <c r="U3" s="1">
        <v>0</v>
      </c>
      <c r="V3" s="1">
        <v>0</v>
      </c>
      <c r="W3" s="13" t="s">
        <v>702</v>
      </c>
      <c r="X3" s="14" t="s">
        <v>703</v>
      </c>
    </row>
    <row r="4" spans="1:24" ht="53.45">
      <c r="A4" s="16" t="s">
        <v>704</v>
      </c>
      <c r="B4" s="16" t="s">
        <v>705</v>
      </c>
      <c r="C4" s="16"/>
      <c r="D4" s="16" t="s">
        <v>74</v>
      </c>
      <c r="E4" s="16" t="s">
        <v>706</v>
      </c>
      <c r="F4" s="16"/>
      <c r="G4" s="2">
        <v>0</v>
      </c>
      <c r="H4" s="4"/>
      <c r="I4" s="3"/>
      <c r="J4" s="11"/>
      <c r="K4" s="2"/>
      <c r="L4" s="12"/>
      <c r="M4" s="4"/>
      <c r="N4" s="5" t="s">
        <v>701</v>
      </c>
      <c r="O4" s="13"/>
      <c r="P4" s="13"/>
      <c r="Q4" s="13"/>
      <c r="R4" s="13"/>
      <c r="S4" s="13" t="s">
        <v>700</v>
      </c>
      <c r="T4" s="13">
        <v>119</v>
      </c>
      <c r="U4" s="1">
        <v>0</v>
      </c>
      <c r="V4" s="1">
        <v>0</v>
      </c>
      <c r="W4" s="13" t="s">
        <v>702</v>
      </c>
      <c r="X4" s="14" t="s">
        <v>703</v>
      </c>
    </row>
    <row r="5" spans="1:24" ht="27">
      <c r="A5" s="16" t="s">
        <v>707</v>
      </c>
      <c r="B5" s="16" t="s">
        <v>476</v>
      </c>
      <c r="C5" s="16"/>
      <c r="D5" s="16" t="s">
        <v>74</v>
      </c>
      <c r="E5" s="16" t="s">
        <v>700</v>
      </c>
      <c r="F5" s="16"/>
      <c r="G5" s="2" t="s">
        <v>708</v>
      </c>
      <c r="H5" s="4"/>
      <c r="I5" s="3"/>
      <c r="J5" s="11"/>
      <c r="K5" s="2"/>
      <c r="L5" s="12"/>
      <c r="M5" s="4"/>
      <c r="N5" s="5" t="s">
        <v>701</v>
      </c>
      <c r="O5" s="13"/>
      <c r="P5" s="13"/>
      <c r="Q5" s="13"/>
      <c r="R5" s="13"/>
      <c r="S5" s="13" t="s">
        <v>700</v>
      </c>
      <c r="T5" s="13">
        <v>120</v>
      </c>
      <c r="U5" s="1">
        <v>0</v>
      </c>
      <c r="V5" s="1">
        <v>0</v>
      </c>
      <c r="W5" s="13" t="s">
        <v>702</v>
      </c>
      <c r="X5" s="14" t="s">
        <v>703</v>
      </c>
    </row>
    <row r="6" spans="1:24" ht="40.15">
      <c r="A6" s="16" t="s">
        <v>709</v>
      </c>
      <c r="B6" s="16" t="s">
        <v>710</v>
      </c>
      <c r="C6" s="16"/>
      <c r="D6" s="16" t="s">
        <v>74</v>
      </c>
      <c r="E6" s="16" t="s">
        <v>711</v>
      </c>
      <c r="F6" s="16"/>
      <c r="G6" s="2">
        <v>0</v>
      </c>
      <c r="H6" s="4"/>
      <c r="I6" s="3"/>
      <c r="J6" s="11"/>
      <c r="K6" s="2"/>
      <c r="L6" s="12"/>
      <c r="M6" s="4"/>
      <c r="N6" s="5" t="s">
        <v>701</v>
      </c>
      <c r="O6" s="13"/>
      <c r="P6" s="13"/>
      <c r="Q6" s="13"/>
      <c r="R6" s="13"/>
      <c r="S6" s="13" t="s">
        <v>700</v>
      </c>
      <c r="T6" s="13">
        <v>121</v>
      </c>
      <c r="U6" s="1">
        <v>0</v>
      </c>
      <c r="V6" s="1">
        <v>0</v>
      </c>
      <c r="W6" s="13" t="s">
        <v>702</v>
      </c>
      <c r="X6" s="14" t="s">
        <v>703</v>
      </c>
    </row>
    <row r="7" spans="1:24" ht="53.45">
      <c r="A7" s="16" t="s">
        <v>131</v>
      </c>
      <c r="B7" s="16" t="s">
        <v>493</v>
      </c>
      <c r="C7" s="16"/>
      <c r="D7" s="16" t="s">
        <v>74</v>
      </c>
      <c r="E7" s="16" t="s">
        <v>712</v>
      </c>
      <c r="F7" s="18"/>
      <c r="G7" s="2" t="s">
        <v>713</v>
      </c>
      <c r="H7" s="4"/>
      <c r="I7" s="3"/>
      <c r="J7" s="11"/>
      <c r="K7" s="2"/>
      <c r="L7" s="12"/>
      <c r="M7" s="4"/>
      <c r="N7" s="5">
        <v>45498</v>
      </c>
      <c r="O7" s="13"/>
      <c r="P7" s="13"/>
      <c r="Q7" s="13"/>
      <c r="R7" s="13"/>
      <c r="S7" s="13" t="s">
        <v>700</v>
      </c>
      <c r="T7" s="13">
        <v>122</v>
      </c>
      <c r="U7" s="1">
        <v>0</v>
      </c>
      <c r="V7" s="1">
        <v>0</v>
      </c>
      <c r="W7" s="13" t="s">
        <v>702</v>
      </c>
      <c r="X7" s="14" t="s">
        <v>703</v>
      </c>
    </row>
    <row r="8" spans="1:24" ht="40.15">
      <c r="A8" s="16" t="s">
        <v>714</v>
      </c>
      <c r="B8" s="16" t="s">
        <v>501</v>
      </c>
      <c r="C8" s="16"/>
      <c r="D8" s="16" t="s">
        <v>74</v>
      </c>
      <c r="E8" s="16" t="s">
        <v>700</v>
      </c>
      <c r="F8" s="16"/>
      <c r="G8" s="2">
        <v>0</v>
      </c>
      <c r="H8" s="4"/>
      <c r="I8" s="3"/>
      <c r="J8" s="11"/>
      <c r="K8" s="2"/>
      <c r="L8" s="12"/>
      <c r="M8" s="4"/>
      <c r="N8" s="5"/>
      <c r="O8" s="13"/>
      <c r="P8" s="13"/>
      <c r="Q8" s="13"/>
      <c r="R8" s="13"/>
      <c r="S8" s="13" t="s">
        <v>700</v>
      </c>
      <c r="T8" s="13">
        <v>123</v>
      </c>
      <c r="U8" s="1">
        <v>0</v>
      </c>
      <c r="V8" s="1">
        <v>0</v>
      </c>
      <c r="W8" s="13" t="s">
        <v>702</v>
      </c>
      <c r="X8" s="14" t="s">
        <v>703</v>
      </c>
    </row>
    <row r="9" spans="1:24" ht="53.45">
      <c r="A9" s="16" t="s">
        <v>715</v>
      </c>
      <c r="B9" s="16" t="s">
        <v>716</v>
      </c>
      <c r="C9" s="16"/>
      <c r="D9" s="16" t="s">
        <v>74</v>
      </c>
      <c r="E9" s="16" t="s">
        <v>700</v>
      </c>
      <c r="F9" s="16"/>
      <c r="G9" s="2">
        <v>0</v>
      </c>
      <c r="H9" s="4"/>
      <c r="I9" s="3"/>
      <c r="J9" s="11"/>
      <c r="K9" s="2"/>
      <c r="L9" s="12"/>
      <c r="M9" s="4"/>
      <c r="N9" s="5"/>
      <c r="O9" s="13"/>
      <c r="P9" s="13"/>
      <c r="Q9" s="13"/>
      <c r="R9" s="13"/>
      <c r="S9" s="13" t="s">
        <v>700</v>
      </c>
      <c r="T9" s="13">
        <v>124</v>
      </c>
      <c r="U9" s="1">
        <v>0</v>
      </c>
      <c r="V9" s="1">
        <v>0</v>
      </c>
      <c r="W9" s="13" t="s">
        <v>702</v>
      </c>
      <c r="X9" s="14" t="s">
        <v>703</v>
      </c>
    </row>
    <row r="10" spans="1:24" ht="53.45">
      <c r="A10" s="16" t="s">
        <v>717</v>
      </c>
      <c r="B10" s="16" t="s">
        <v>507</v>
      </c>
      <c r="C10" s="16"/>
      <c r="D10" s="16" t="s">
        <v>74</v>
      </c>
      <c r="E10" s="16" t="s">
        <v>718</v>
      </c>
      <c r="F10" s="16"/>
      <c r="G10" s="2" t="s">
        <v>719</v>
      </c>
      <c r="H10" s="4"/>
      <c r="I10" s="3"/>
      <c r="J10" s="11"/>
      <c r="K10" s="2"/>
      <c r="L10" s="12"/>
      <c r="M10" s="4"/>
      <c r="N10" s="5"/>
      <c r="O10" s="13"/>
      <c r="P10" s="13"/>
      <c r="Q10" s="13"/>
      <c r="R10" s="13"/>
      <c r="S10" s="13" t="s">
        <v>700</v>
      </c>
      <c r="T10" s="13">
        <v>125</v>
      </c>
      <c r="U10" s="1">
        <v>0</v>
      </c>
      <c r="V10" s="1">
        <v>0</v>
      </c>
      <c r="W10" s="13" t="s">
        <v>702</v>
      </c>
      <c r="X10" s="14" t="s">
        <v>703</v>
      </c>
    </row>
    <row r="11" spans="1:24" ht="27">
      <c r="A11" s="16" t="s">
        <v>720</v>
      </c>
      <c r="B11" s="16" t="s">
        <v>721</v>
      </c>
      <c r="C11" s="16"/>
      <c r="D11" s="16" t="s">
        <v>74</v>
      </c>
      <c r="E11" s="16">
        <v>0</v>
      </c>
      <c r="F11" s="16"/>
      <c r="G11" s="2" t="e">
        <v>#N/A</v>
      </c>
      <c r="H11" s="4"/>
      <c r="I11" s="3"/>
      <c r="J11" s="11"/>
      <c r="K11" s="2"/>
      <c r="L11" s="12"/>
      <c r="M11" s="4"/>
      <c r="N11" s="5" t="s">
        <v>701</v>
      </c>
      <c r="O11" s="13"/>
      <c r="P11" s="13"/>
      <c r="Q11" s="13"/>
      <c r="R11" s="13"/>
      <c r="S11" s="13" t="s">
        <v>700</v>
      </c>
      <c r="T11" s="13">
        <v>126</v>
      </c>
      <c r="U11" s="1">
        <v>0</v>
      </c>
      <c r="V11" s="1">
        <v>0</v>
      </c>
      <c r="W11" s="13" t="s">
        <v>702</v>
      </c>
      <c r="X11" s="14" t="s">
        <v>703</v>
      </c>
    </row>
    <row r="12" spans="1:24" ht="40.15">
      <c r="A12" s="16" t="s">
        <v>722</v>
      </c>
      <c r="B12" s="16" t="s">
        <v>543</v>
      </c>
      <c r="C12" s="16"/>
      <c r="D12" s="16" t="s">
        <v>74</v>
      </c>
      <c r="E12" s="16" t="s">
        <v>700</v>
      </c>
      <c r="F12" s="16"/>
      <c r="G12" s="2">
        <v>0</v>
      </c>
      <c r="H12" s="4"/>
      <c r="I12" s="3"/>
      <c r="J12" s="11"/>
      <c r="K12" s="2"/>
      <c r="L12" s="12"/>
      <c r="M12" s="4"/>
      <c r="N12" s="5"/>
      <c r="O12" s="13"/>
      <c r="P12" s="13"/>
      <c r="Q12" s="13"/>
      <c r="R12" s="13"/>
      <c r="S12" s="13" t="s">
        <v>700</v>
      </c>
      <c r="T12" s="13">
        <v>127</v>
      </c>
      <c r="U12" s="1" t="s">
        <v>723</v>
      </c>
      <c r="V12" s="1">
        <v>0</v>
      </c>
      <c r="W12" s="13" t="s">
        <v>702</v>
      </c>
      <c r="X12" s="14" t="s">
        <v>703</v>
      </c>
    </row>
    <row r="13" spans="1:24" ht="53.45">
      <c r="A13" s="16" t="s">
        <v>724</v>
      </c>
      <c r="B13" s="16" t="s">
        <v>545</v>
      </c>
      <c r="C13" s="16"/>
      <c r="D13" s="16" t="s">
        <v>74</v>
      </c>
      <c r="E13" s="16" t="s">
        <v>725</v>
      </c>
      <c r="F13" s="16"/>
      <c r="G13" s="2">
        <v>0</v>
      </c>
      <c r="H13" s="4"/>
      <c r="I13" s="3"/>
      <c r="J13" s="11"/>
      <c r="K13" s="2"/>
      <c r="L13" s="12"/>
      <c r="M13" s="4"/>
      <c r="N13" s="5">
        <v>45498</v>
      </c>
      <c r="O13" s="13"/>
      <c r="P13" s="13"/>
      <c r="Q13" s="13"/>
      <c r="R13" s="13"/>
      <c r="S13" s="13" t="s">
        <v>700</v>
      </c>
      <c r="T13" s="13">
        <v>128</v>
      </c>
      <c r="U13" s="1">
        <v>0</v>
      </c>
      <c r="V13" s="1">
        <v>0</v>
      </c>
      <c r="W13" s="13" t="s">
        <v>702</v>
      </c>
      <c r="X13" s="14" t="s">
        <v>703</v>
      </c>
    </row>
    <row r="14" spans="1:24" ht="53.45">
      <c r="A14" s="16" t="s">
        <v>726</v>
      </c>
      <c r="B14" s="16" t="s">
        <v>549</v>
      </c>
      <c r="C14" s="16"/>
      <c r="D14" s="16" t="s">
        <v>74</v>
      </c>
      <c r="E14" s="16" t="s">
        <v>700</v>
      </c>
      <c r="F14" s="16"/>
      <c r="G14" s="2">
        <v>0</v>
      </c>
      <c r="H14" s="4"/>
      <c r="I14" s="3"/>
      <c r="J14" s="11"/>
      <c r="K14" s="2"/>
      <c r="L14" s="12"/>
      <c r="M14" s="4"/>
      <c r="N14" s="5" t="s">
        <v>701</v>
      </c>
      <c r="O14" s="13"/>
      <c r="P14" s="13"/>
      <c r="Q14" s="13"/>
      <c r="R14" s="13"/>
      <c r="S14" s="13" t="s">
        <v>700</v>
      </c>
      <c r="T14" s="13">
        <v>129</v>
      </c>
      <c r="U14" s="1">
        <v>0</v>
      </c>
      <c r="V14" s="1">
        <v>0</v>
      </c>
      <c r="W14" s="13" t="s">
        <v>702</v>
      </c>
      <c r="X14" s="14" t="s">
        <v>703</v>
      </c>
    </row>
    <row r="15" spans="1:24" ht="66.599999999999994">
      <c r="A15" s="16" t="s">
        <v>727</v>
      </c>
      <c r="B15" s="16" t="s">
        <v>728</v>
      </c>
      <c r="C15" s="16"/>
      <c r="D15" s="16" t="s">
        <v>74</v>
      </c>
      <c r="E15" s="16">
        <v>0</v>
      </c>
      <c r="F15" s="16"/>
      <c r="G15" s="2" t="e">
        <v>#N/A</v>
      </c>
      <c r="H15" s="4"/>
      <c r="I15" s="3"/>
      <c r="J15" s="11"/>
      <c r="K15" s="2"/>
      <c r="L15" s="12"/>
      <c r="M15" s="4"/>
      <c r="N15" s="4"/>
      <c r="O15" s="13"/>
      <c r="P15" s="13"/>
      <c r="Q15" s="13"/>
      <c r="R15" s="13"/>
      <c r="S15" s="13" t="s">
        <v>700</v>
      </c>
      <c r="T15" s="13">
        <v>130</v>
      </c>
      <c r="U15" s="1">
        <v>0</v>
      </c>
      <c r="V15" s="1">
        <v>0</v>
      </c>
      <c r="W15" s="13" t="s">
        <v>702</v>
      </c>
      <c r="X15" s="14" t="s">
        <v>703</v>
      </c>
    </row>
    <row r="16" spans="1:24" ht="40.15">
      <c r="A16" s="16" t="s">
        <v>729</v>
      </c>
      <c r="B16" s="16" t="s">
        <v>559</v>
      </c>
      <c r="C16" s="16"/>
      <c r="D16" s="16" t="s">
        <v>74</v>
      </c>
      <c r="E16" s="16" t="s">
        <v>700</v>
      </c>
      <c r="F16" s="16"/>
      <c r="G16" s="2">
        <v>0</v>
      </c>
      <c r="H16" s="4"/>
      <c r="I16" s="3"/>
      <c r="J16" s="11"/>
      <c r="K16" s="2"/>
      <c r="L16" s="12"/>
      <c r="M16" s="4"/>
      <c r="N16" s="4" t="s">
        <v>701</v>
      </c>
      <c r="O16" s="13"/>
      <c r="P16" s="13"/>
      <c r="Q16" s="13"/>
      <c r="R16" s="13"/>
      <c r="S16" s="13" t="s">
        <v>700</v>
      </c>
      <c r="T16" s="13">
        <v>131</v>
      </c>
      <c r="U16" s="13">
        <v>0</v>
      </c>
      <c r="V16" s="13">
        <v>0</v>
      </c>
      <c r="W16" s="13" t="s">
        <v>702</v>
      </c>
      <c r="X16" s="14" t="s">
        <v>703</v>
      </c>
    </row>
    <row r="17" spans="1:24" ht="27">
      <c r="A17" s="16" t="s">
        <v>730</v>
      </c>
      <c r="B17" s="16" t="s">
        <v>731</v>
      </c>
      <c r="C17" s="16"/>
      <c r="D17" s="16" t="s">
        <v>74</v>
      </c>
      <c r="E17" s="16" t="s">
        <v>700</v>
      </c>
      <c r="F17" s="16"/>
      <c r="G17" s="2">
        <v>0</v>
      </c>
      <c r="H17" s="4"/>
      <c r="I17" s="3"/>
      <c r="J17" s="11"/>
      <c r="K17" s="2"/>
      <c r="L17" s="12"/>
      <c r="M17" s="4"/>
      <c r="N17" s="4" t="s">
        <v>701</v>
      </c>
      <c r="O17" s="13"/>
      <c r="P17" s="13"/>
      <c r="Q17" s="13"/>
      <c r="R17" s="13"/>
      <c r="S17" s="13" t="s">
        <v>700</v>
      </c>
      <c r="T17" s="13">
        <v>132</v>
      </c>
      <c r="U17" s="13">
        <v>0</v>
      </c>
      <c r="V17" s="13">
        <v>0</v>
      </c>
      <c r="W17" s="13" t="s">
        <v>702</v>
      </c>
      <c r="X17" s="14" t="s">
        <v>703</v>
      </c>
    </row>
    <row r="18" spans="1:24" ht="27">
      <c r="A18" s="16" t="s">
        <v>732</v>
      </c>
      <c r="B18" s="16" t="s">
        <v>594</v>
      </c>
      <c r="C18" s="16"/>
      <c r="D18" s="16" t="s">
        <v>74</v>
      </c>
      <c r="E18" s="16">
        <v>0</v>
      </c>
      <c r="F18" s="18"/>
      <c r="G18" s="2" t="e">
        <v>#N/A</v>
      </c>
      <c r="H18" s="4"/>
      <c r="I18" s="3"/>
      <c r="J18" s="11"/>
      <c r="K18" s="2"/>
      <c r="L18" s="12"/>
      <c r="M18" s="4"/>
      <c r="N18" s="4">
        <v>45498</v>
      </c>
      <c r="O18" s="13"/>
      <c r="P18" s="13"/>
      <c r="Q18" s="13"/>
      <c r="R18" s="13"/>
      <c r="S18" s="13" t="s">
        <v>700</v>
      </c>
      <c r="T18" s="13">
        <v>133</v>
      </c>
      <c r="U18" s="13">
        <v>0</v>
      </c>
      <c r="V18" s="13">
        <v>0</v>
      </c>
      <c r="W18" s="13" t="s">
        <v>702</v>
      </c>
      <c r="X18" s="14" t="s">
        <v>703</v>
      </c>
    </row>
    <row r="19" spans="1:24" ht="53.45">
      <c r="A19" s="16" t="s">
        <v>733</v>
      </c>
      <c r="B19" s="16" t="s">
        <v>565</v>
      </c>
      <c r="C19" s="16"/>
      <c r="D19" s="16" t="s">
        <v>74</v>
      </c>
      <c r="E19" s="16" t="s">
        <v>712</v>
      </c>
      <c r="F19" s="16"/>
      <c r="G19" s="2">
        <v>0</v>
      </c>
      <c r="H19" s="4"/>
      <c r="I19" s="3"/>
      <c r="J19" s="11"/>
      <c r="K19" s="2"/>
      <c r="L19" s="12"/>
      <c r="M19" s="4"/>
      <c r="N19" s="4"/>
      <c r="O19" s="13"/>
      <c r="P19" s="13"/>
      <c r="Q19" s="13"/>
      <c r="R19" s="13"/>
      <c r="S19" s="13" t="s">
        <v>700</v>
      </c>
      <c r="T19" s="13">
        <v>134</v>
      </c>
      <c r="U19" s="13">
        <v>0</v>
      </c>
      <c r="V19" s="13">
        <v>0</v>
      </c>
      <c r="W19" s="13" t="s">
        <v>702</v>
      </c>
      <c r="X19" s="14" t="s">
        <v>703</v>
      </c>
    </row>
    <row r="20" spans="1:24" ht="40.15">
      <c r="A20" s="16" t="s">
        <v>734</v>
      </c>
      <c r="B20" s="16" t="s">
        <v>735</v>
      </c>
      <c r="C20" s="16"/>
      <c r="D20" s="16" t="s">
        <v>74</v>
      </c>
      <c r="E20" s="16" t="s">
        <v>700</v>
      </c>
      <c r="F20" s="16"/>
      <c r="G20" s="2">
        <v>0</v>
      </c>
      <c r="H20" s="4"/>
      <c r="I20" s="3"/>
      <c r="J20" s="11"/>
      <c r="K20" s="2"/>
      <c r="L20" s="12"/>
      <c r="M20" s="4" t="s">
        <v>736</v>
      </c>
      <c r="N20" s="4"/>
      <c r="O20" s="13"/>
      <c r="P20" s="13"/>
      <c r="Q20" s="13"/>
      <c r="R20" s="13"/>
      <c r="S20" s="13" t="s">
        <v>700</v>
      </c>
      <c r="T20" s="13">
        <v>135</v>
      </c>
      <c r="U20" s="13">
        <v>0</v>
      </c>
      <c r="V20" s="13">
        <v>0</v>
      </c>
      <c r="W20" s="13" t="s">
        <v>702</v>
      </c>
      <c r="X20" s="14" t="s">
        <v>703</v>
      </c>
    </row>
    <row r="21" spans="1:24" ht="53.45">
      <c r="A21" s="16" t="s">
        <v>737</v>
      </c>
      <c r="B21" s="16" t="s">
        <v>575</v>
      </c>
      <c r="C21" s="16"/>
      <c r="D21" s="16" t="s">
        <v>74</v>
      </c>
      <c r="E21" s="16" t="s">
        <v>700</v>
      </c>
      <c r="F21" s="16"/>
      <c r="G21" s="2">
        <v>0</v>
      </c>
      <c r="H21" s="4"/>
      <c r="I21" s="3"/>
      <c r="J21" s="11"/>
      <c r="K21" s="2"/>
      <c r="L21" s="12"/>
      <c r="M21" s="4"/>
      <c r="N21" s="4" t="s">
        <v>701</v>
      </c>
      <c r="O21" s="13"/>
      <c r="P21" s="13"/>
      <c r="Q21" s="13"/>
      <c r="R21" s="13"/>
      <c r="S21" s="13" t="s">
        <v>700</v>
      </c>
      <c r="T21" s="13">
        <v>136</v>
      </c>
      <c r="U21" s="13">
        <v>0</v>
      </c>
      <c r="V21" s="13">
        <v>0</v>
      </c>
      <c r="W21" s="13" t="s">
        <v>702</v>
      </c>
      <c r="X21" s="14" t="s">
        <v>703</v>
      </c>
    </row>
    <row r="22" spans="1:24" ht="27">
      <c r="A22" s="16" t="s">
        <v>738</v>
      </c>
      <c r="B22" s="16" t="s">
        <v>583</v>
      </c>
      <c r="C22" s="16"/>
      <c r="D22" s="16" t="s">
        <v>74</v>
      </c>
      <c r="E22" s="16" t="s">
        <v>700</v>
      </c>
      <c r="F22" s="16"/>
      <c r="G22" s="2">
        <v>0</v>
      </c>
      <c r="H22" s="4"/>
      <c r="I22" s="6"/>
      <c r="J22" s="6"/>
      <c r="K22" s="6"/>
      <c r="L22" s="6"/>
      <c r="M22" s="4"/>
      <c r="N22" s="4" t="s">
        <v>739</v>
      </c>
      <c r="O22" s="6"/>
      <c r="P22" s="6"/>
      <c r="Q22" s="6"/>
      <c r="R22" s="6"/>
      <c r="S22" s="6" t="s">
        <v>700</v>
      </c>
      <c r="T22" s="6">
        <v>137</v>
      </c>
      <c r="U22" s="6" t="s">
        <v>740</v>
      </c>
      <c r="V22" s="6">
        <v>0</v>
      </c>
      <c r="W22" s="6" t="s">
        <v>702</v>
      </c>
      <c r="X22" s="6" t="s">
        <v>703</v>
      </c>
    </row>
    <row r="23" spans="1:24" ht="27">
      <c r="A23" s="16" t="s">
        <v>741</v>
      </c>
      <c r="B23" s="16" t="s">
        <v>742</v>
      </c>
      <c r="C23" s="16"/>
      <c r="D23" s="16" t="s">
        <v>74</v>
      </c>
      <c r="E23" s="16" t="s">
        <v>700</v>
      </c>
      <c r="F23" s="16"/>
      <c r="G23" s="2">
        <v>0</v>
      </c>
      <c r="H23" s="4"/>
      <c r="I23" s="6"/>
      <c r="J23" s="6"/>
      <c r="K23" s="6"/>
      <c r="L23" s="6"/>
      <c r="M23" s="4"/>
      <c r="N23" s="4" t="s">
        <v>739</v>
      </c>
      <c r="O23" s="6"/>
      <c r="P23" s="6"/>
      <c r="Q23" s="6"/>
      <c r="R23" s="6"/>
      <c r="S23" s="6" t="s">
        <v>700</v>
      </c>
      <c r="T23" s="6">
        <v>138</v>
      </c>
      <c r="U23" s="6" t="s">
        <v>743</v>
      </c>
      <c r="V23" s="6">
        <v>0</v>
      </c>
      <c r="W23" s="6" t="s">
        <v>702</v>
      </c>
      <c r="X23" s="6" t="s">
        <v>703</v>
      </c>
    </row>
    <row r="24" spans="1:24" ht="27">
      <c r="A24" s="16" t="s">
        <v>744</v>
      </c>
      <c r="B24" s="16" t="s">
        <v>745</v>
      </c>
      <c r="C24" s="16"/>
      <c r="D24" s="16" t="s">
        <v>74</v>
      </c>
      <c r="E24" s="16" t="s">
        <v>712</v>
      </c>
      <c r="F24" s="16"/>
      <c r="G24" s="2">
        <v>0</v>
      </c>
      <c r="H24" s="4"/>
      <c r="I24" s="6"/>
      <c r="J24" s="6"/>
      <c r="K24" s="6"/>
      <c r="L24" s="6"/>
      <c r="M24" s="4"/>
      <c r="N24" s="4"/>
      <c r="O24" s="6"/>
      <c r="P24" s="6"/>
      <c r="Q24" s="6"/>
      <c r="R24" s="6"/>
      <c r="S24" s="6" t="s">
        <v>700</v>
      </c>
      <c r="T24" s="6">
        <v>139</v>
      </c>
      <c r="U24" s="6">
        <v>0</v>
      </c>
      <c r="V24" s="6">
        <v>0</v>
      </c>
      <c r="W24" s="6" t="s">
        <v>702</v>
      </c>
      <c r="X24" s="6" t="s">
        <v>703</v>
      </c>
    </row>
    <row r="25" spans="1:24" ht="53.45">
      <c r="A25" s="16" t="s">
        <v>746</v>
      </c>
      <c r="B25" s="16" t="s">
        <v>592</v>
      </c>
      <c r="C25" s="16"/>
      <c r="D25" s="16" t="s">
        <v>74</v>
      </c>
      <c r="E25" s="16" t="s">
        <v>712</v>
      </c>
      <c r="F25" s="16"/>
      <c r="G25" s="2">
        <v>0</v>
      </c>
      <c r="H25" s="4"/>
      <c r="I25" s="6"/>
      <c r="J25" s="6"/>
      <c r="K25" s="6"/>
      <c r="L25" s="6"/>
      <c r="M25" s="4"/>
      <c r="N25" s="4"/>
      <c r="O25" s="6"/>
      <c r="P25" s="6"/>
      <c r="Q25" s="6"/>
      <c r="R25" s="6"/>
      <c r="S25" s="6" t="s">
        <v>700</v>
      </c>
      <c r="T25" s="6">
        <v>140</v>
      </c>
      <c r="U25" s="6">
        <v>0</v>
      </c>
      <c r="V25" s="6">
        <v>0</v>
      </c>
      <c r="W25" s="6" t="s">
        <v>702</v>
      </c>
      <c r="X25" s="6" t="s">
        <v>703</v>
      </c>
    </row>
    <row r="26" spans="1:24" ht="40.15">
      <c r="A26" s="16"/>
      <c r="B26" s="16" t="s">
        <v>747</v>
      </c>
      <c r="C26" s="16"/>
      <c r="D26" s="16" t="s">
        <v>74</v>
      </c>
      <c r="E26" s="16" t="s">
        <v>723</v>
      </c>
      <c r="F26" s="16"/>
      <c r="G26" s="2"/>
      <c r="H26" s="4"/>
      <c r="I26" s="6"/>
      <c r="J26" s="6"/>
      <c r="K26" s="6"/>
      <c r="L26" s="6"/>
      <c r="M26" s="4"/>
      <c r="N26" s="4" t="s">
        <v>701</v>
      </c>
      <c r="O26" s="6"/>
      <c r="P26" s="6"/>
      <c r="Q26" s="6"/>
      <c r="R26" s="6"/>
      <c r="S26" s="6" t="s">
        <v>700</v>
      </c>
      <c r="T26" s="6">
        <v>141</v>
      </c>
      <c r="U26" s="6">
        <v>0</v>
      </c>
      <c r="V26" s="6">
        <v>0</v>
      </c>
      <c r="W26" s="6" t="s">
        <v>702</v>
      </c>
      <c r="X26" s="6" t="s">
        <v>703</v>
      </c>
    </row>
    <row r="27" spans="1:24" ht="53.45">
      <c r="A27" s="16"/>
      <c r="B27" s="16" t="s">
        <v>748</v>
      </c>
      <c r="C27" s="16"/>
      <c r="D27" s="16" t="s">
        <v>74</v>
      </c>
      <c r="E27" s="16" t="s">
        <v>723</v>
      </c>
      <c r="F27" s="16"/>
      <c r="G27" s="2"/>
      <c r="H27" s="4"/>
      <c r="I27" s="6"/>
      <c r="J27" s="6"/>
      <c r="K27" s="6"/>
      <c r="L27" s="6"/>
      <c r="M27" s="4"/>
      <c r="N27" s="4" t="s">
        <v>701</v>
      </c>
      <c r="O27" s="6"/>
      <c r="P27" s="6"/>
      <c r="Q27" s="6"/>
      <c r="R27" s="6"/>
      <c r="S27" s="6" t="s">
        <v>700</v>
      </c>
      <c r="T27" s="6">
        <v>142</v>
      </c>
      <c r="U27" s="6">
        <v>0</v>
      </c>
      <c r="V27" s="6">
        <v>0</v>
      </c>
      <c r="W27" s="6" t="s">
        <v>702</v>
      </c>
      <c r="X27" s="6" t="s">
        <v>703</v>
      </c>
    </row>
    <row r="28" spans="1:24" ht="40.15">
      <c r="A28" s="16"/>
      <c r="B28" s="16" t="s">
        <v>749</v>
      </c>
      <c r="C28" s="16"/>
      <c r="D28" s="16" t="s">
        <v>74</v>
      </c>
      <c r="E28" s="16"/>
      <c r="F28" s="16"/>
      <c r="G28" s="2"/>
      <c r="H28" s="4"/>
      <c r="I28" s="6"/>
      <c r="J28" s="6"/>
      <c r="K28" s="6"/>
      <c r="L28" s="6"/>
      <c r="M28" s="4"/>
      <c r="N28" s="4" t="s">
        <v>701</v>
      </c>
      <c r="O28" s="6"/>
      <c r="P28" s="6"/>
      <c r="Q28" s="6"/>
      <c r="R28" s="6"/>
      <c r="S28" s="6" t="s">
        <v>700</v>
      </c>
      <c r="T28" s="6">
        <v>143</v>
      </c>
      <c r="U28" s="6">
        <v>0</v>
      </c>
      <c r="V28" s="6">
        <v>0</v>
      </c>
      <c r="W28" s="6" t="s">
        <v>702</v>
      </c>
      <c r="X28" s="6" t="s">
        <v>703</v>
      </c>
    </row>
    <row r="29" spans="1:24" ht="27">
      <c r="A29" s="19"/>
      <c r="B29" s="19"/>
      <c r="C29" s="19"/>
      <c r="D29" s="19" t="s">
        <v>74</v>
      </c>
      <c r="E29" s="19"/>
      <c r="F29" s="19" t="s">
        <v>750</v>
      </c>
      <c r="G29" s="2"/>
      <c r="H29" s="4"/>
      <c r="I29" s="6"/>
      <c r="J29" s="6"/>
      <c r="K29" s="6"/>
      <c r="L29" s="6"/>
      <c r="M29" s="4"/>
      <c r="N29" s="4"/>
      <c r="O29" s="6"/>
      <c r="P29" s="6"/>
      <c r="Q29" s="6"/>
      <c r="R29" s="6"/>
      <c r="S29" s="6" t="s">
        <v>700</v>
      </c>
      <c r="T29" s="6">
        <v>144</v>
      </c>
      <c r="U29" s="6">
        <v>0</v>
      </c>
      <c r="V29" s="6">
        <v>0</v>
      </c>
      <c r="W29" s="6" t="s">
        <v>702</v>
      </c>
      <c r="X29" s="6" t="s">
        <v>703</v>
      </c>
    </row>
    <row r="30" spans="1:24" ht="27">
      <c r="A30" s="19"/>
      <c r="B30" s="19"/>
      <c r="C30" s="19"/>
      <c r="D30" s="19" t="s">
        <v>74</v>
      </c>
      <c r="E30" s="19"/>
      <c r="F30" s="19" t="s">
        <v>751</v>
      </c>
      <c r="G30" s="2"/>
      <c r="H30" s="4"/>
      <c r="I30" s="6"/>
      <c r="J30" s="6"/>
      <c r="K30" s="6"/>
      <c r="L30" s="6"/>
      <c r="M30" s="4"/>
      <c r="N30" s="4"/>
      <c r="O30" s="6"/>
      <c r="P30" s="6"/>
      <c r="Q30" s="6"/>
      <c r="R30" s="6"/>
      <c r="S30" s="6" t="s">
        <v>700</v>
      </c>
      <c r="T30" s="6">
        <v>145</v>
      </c>
      <c r="U30" s="6">
        <v>0</v>
      </c>
      <c r="V30" s="6">
        <v>0</v>
      </c>
      <c r="W30" s="6" t="s">
        <v>702</v>
      </c>
      <c r="X30" s="6" t="s">
        <v>703</v>
      </c>
    </row>
    <row r="31" spans="1:24">
      <c r="A31" s="19"/>
      <c r="B31" s="19"/>
      <c r="C31" s="19"/>
      <c r="D31" s="19" t="s">
        <v>74</v>
      </c>
      <c r="E31" s="19"/>
      <c r="F31" s="19" t="s">
        <v>752</v>
      </c>
      <c r="G31" s="2"/>
      <c r="H31" s="4"/>
      <c r="I31" s="6"/>
      <c r="J31" s="6"/>
      <c r="K31" s="6"/>
      <c r="L31" s="6"/>
      <c r="M31" s="4"/>
      <c r="N31" s="4"/>
      <c r="O31" s="6"/>
      <c r="P31" s="6"/>
      <c r="Q31" s="6"/>
      <c r="R31" s="6"/>
      <c r="S31" s="6" t="s">
        <v>700</v>
      </c>
      <c r="T31" s="6">
        <v>146</v>
      </c>
      <c r="U31" s="6">
        <v>0</v>
      </c>
      <c r="V31" s="6">
        <v>0</v>
      </c>
      <c r="W31" s="6" t="s">
        <v>702</v>
      </c>
      <c r="X31" s="6" t="s">
        <v>703</v>
      </c>
    </row>
    <row r="32" spans="1:24" ht="79.900000000000006">
      <c r="A32" s="19"/>
      <c r="B32" s="19"/>
      <c r="C32" s="19"/>
      <c r="D32" s="19" t="s">
        <v>74</v>
      </c>
      <c r="E32" s="19"/>
      <c r="F32" s="19" t="s">
        <v>753</v>
      </c>
      <c r="G32" s="2"/>
      <c r="H32" s="4"/>
      <c r="I32" s="6"/>
      <c r="J32" s="6"/>
      <c r="K32" s="6"/>
      <c r="L32" s="6"/>
      <c r="M32" s="4"/>
      <c r="N32" s="4"/>
      <c r="O32" s="6"/>
      <c r="P32" s="6"/>
      <c r="Q32" s="6"/>
      <c r="R32" s="6"/>
      <c r="S32" s="6" t="s">
        <v>700</v>
      </c>
      <c r="T32" s="6">
        <v>147</v>
      </c>
      <c r="U32" s="6">
        <v>0</v>
      </c>
      <c r="V32" s="6">
        <v>0</v>
      </c>
      <c r="W32" s="6" t="s">
        <v>702</v>
      </c>
      <c r="X32" s="6" t="s">
        <v>703</v>
      </c>
    </row>
    <row r="33" spans="1:24" ht="40.15">
      <c r="A33" s="19"/>
      <c r="B33" s="19"/>
      <c r="C33" s="19"/>
      <c r="D33" s="19" t="s">
        <v>74</v>
      </c>
      <c r="E33" s="19"/>
      <c r="F33" s="19" t="s">
        <v>754</v>
      </c>
      <c r="G33" s="2"/>
      <c r="H33" s="4"/>
      <c r="I33" s="6"/>
      <c r="J33" s="6"/>
      <c r="K33" s="6"/>
      <c r="L33" s="6"/>
      <c r="M33" s="4"/>
      <c r="N33" s="4"/>
      <c r="O33" s="6"/>
      <c r="P33" s="6"/>
      <c r="Q33" s="6"/>
      <c r="R33" s="6"/>
      <c r="S33" s="6" t="s">
        <v>700</v>
      </c>
      <c r="T33" s="6">
        <v>148</v>
      </c>
      <c r="U33" s="6">
        <v>0</v>
      </c>
      <c r="V33" s="6">
        <v>0</v>
      </c>
      <c r="W33" s="6" t="s">
        <v>702</v>
      </c>
      <c r="X33" s="6" t="s">
        <v>703</v>
      </c>
    </row>
    <row r="34" spans="1:24" ht="66.599999999999994">
      <c r="A34" s="19"/>
      <c r="B34" s="19"/>
      <c r="C34" s="19"/>
      <c r="D34" s="19" t="s">
        <v>74</v>
      </c>
      <c r="E34" s="19"/>
      <c r="F34" s="19" t="s">
        <v>755</v>
      </c>
      <c r="G34" s="2"/>
      <c r="H34" s="4"/>
      <c r="I34" s="6"/>
      <c r="J34" s="6"/>
      <c r="K34" s="6"/>
      <c r="L34" s="6"/>
      <c r="M34" s="4">
        <v>45480</v>
      </c>
      <c r="N34" s="4"/>
      <c r="O34" s="6"/>
      <c r="P34" s="6"/>
      <c r="Q34" s="6"/>
      <c r="R34" s="6"/>
      <c r="S34" s="6" t="s">
        <v>700</v>
      </c>
      <c r="T34" s="6">
        <v>149</v>
      </c>
      <c r="U34" s="6">
        <v>0</v>
      </c>
      <c r="V34" s="6">
        <v>0</v>
      </c>
      <c r="W34" s="6" t="s">
        <v>702</v>
      </c>
      <c r="X34" s="6" t="s">
        <v>703</v>
      </c>
    </row>
    <row r="35" spans="1:24" ht="27">
      <c r="A35" s="19"/>
      <c r="B35" s="19"/>
      <c r="C35" s="19"/>
      <c r="D35" s="19" t="s">
        <v>74</v>
      </c>
      <c r="E35" s="19"/>
      <c r="F35" s="19" t="s">
        <v>756</v>
      </c>
      <c r="G35" s="2"/>
      <c r="H35" s="4"/>
      <c r="I35" s="6"/>
      <c r="J35" s="6"/>
      <c r="K35" s="6"/>
      <c r="L35" s="6"/>
      <c r="M35" s="4">
        <v>45510</v>
      </c>
      <c r="N35" s="4"/>
      <c r="O35" s="6"/>
      <c r="P35" s="6"/>
      <c r="Q35" s="6"/>
      <c r="R35" s="6"/>
      <c r="S35" s="6" t="s">
        <v>700</v>
      </c>
      <c r="T35" s="6">
        <v>150</v>
      </c>
      <c r="U35" s="6">
        <v>0</v>
      </c>
      <c r="V35" s="6">
        <v>0</v>
      </c>
      <c r="W35" s="6" t="s">
        <v>702</v>
      </c>
      <c r="X35" s="6" t="s">
        <v>703</v>
      </c>
    </row>
    <row r="36" spans="1:24" ht="53.45">
      <c r="A36" s="19"/>
      <c r="B36" s="19"/>
      <c r="C36" s="19"/>
      <c r="D36" s="19" t="s">
        <v>74</v>
      </c>
      <c r="E36" s="19"/>
      <c r="F36" s="19" t="s">
        <v>757</v>
      </c>
      <c r="G36" s="2"/>
      <c r="H36" s="4"/>
      <c r="I36" s="6"/>
      <c r="J36" s="6"/>
      <c r="K36" s="6"/>
      <c r="L36" s="6"/>
      <c r="M36" s="4">
        <v>45510</v>
      </c>
      <c r="N36" s="4"/>
      <c r="O36" s="6"/>
      <c r="P36" s="6"/>
      <c r="Q36" s="6"/>
      <c r="R36" s="6"/>
      <c r="S36" s="6" t="s">
        <v>700</v>
      </c>
      <c r="T36" s="6">
        <v>151</v>
      </c>
      <c r="U36" s="6">
        <v>0</v>
      </c>
      <c r="V36" s="6">
        <v>0</v>
      </c>
      <c r="W36" s="6" t="s">
        <v>702</v>
      </c>
      <c r="X36" s="6" t="s">
        <v>703</v>
      </c>
    </row>
    <row r="37" spans="1:24" ht="40.15">
      <c r="A37" s="19"/>
      <c r="B37" s="19"/>
      <c r="C37" s="19"/>
      <c r="D37" s="19" t="s">
        <v>74</v>
      </c>
      <c r="E37" s="19"/>
      <c r="F37" s="19" t="s">
        <v>758</v>
      </c>
      <c r="G37" s="2"/>
      <c r="H37" s="4"/>
      <c r="I37" s="6"/>
      <c r="J37" s="6"/>
      <c r="K37" s="6"/>
      <c r="L37" s="6"/>
      <c r="M37" s="4">
        <v>45510</v>
      </c>
      <c r="N37" s="4"/>
      <c r="O37" s="6"/>
      <c r="P37" s="6"/>
      <c r="Q37" s="6"/>
      <c r="R37" s="6"/>
      <c r="S37" s="6" t="s">
        <v>700</v>
      </c>
      <c r="T37" s="6">
        <v>152</v>
      </c>
      <c r="U37" s="6">
        <v>0</v>
      </c>
      <c r="V37" s="6">
        <v>0</v>
      </c>
      <c r="W37" s="6" t="s">
        <v>702</v>
      </c>
      <c r="X37" s="6" t="s">
        <v>703</v>
      </c>
    </row>
    <row r="38" spans="1:24" ht="27">
      <c r="A38" s="19"/>
      <c r="B38" s="19"/>
      <c r="C38" s="19"/>
      <c r="D38" s="19" t="s">
        <v>74</v>
      </c>
      <c r="E38" s="19"/>
      <c r="F38" s="19" t="s">
        <v>759</v>
      </c>
      <c r="G38" s="2">
        <v>1</v>
      </c>
      <c r="H38" s="4"/>
      <c r="I38" s="6"/>
      <c r="J38" s="6"/>
      <c r="K38" s="6"/>
      <c r="L38" s="6"/>
      <c r="M38" s="4"/>
      <c r="N38" s="4"/>
      <c r="O38" s="6"/>
      <c r="P38" s="6"/>
      <c r="Q38" s="6"/>
      <c r="R38" s="6"/>
      <c r="S38" s="6" t="s">
        <v>700</v>
      </c>
      <c r="T38" s="6">
        <v>153</v>
      </c>
      <c r="U38" s="6">
        <v>0</v>
      </c>
      <c r="V38" s="6">
        <v>0</v>
      </c>
      <c r="W38" s="6" t="s">
        <v>702</v>
      </c>
      <c r="X38" s="6" t="s">
        <v>703</v>
      </c>
    </row>
    <row r="39" spans="1:24" ht="27">
      <c r="A39" s="19"/>
      <c r="B39" s="19"/>
      <c r="C39" s="19"/>
      <c r="D39" s="19" t="s">
        <v>74</v>
      </c>
      <c r="E39" s="19"/>
      <c r="F39" s="19" t="s">
        <v>759</v>
      </c>
      <c r="G39" s="2">
        <v>3</v>
      </c>
      <c r="H39" s="4"/>
      <c r="I39" s="6"/>
      <c r="J39" s="6"/>
      <c r="K39" s="6"/>
      <c r="L39" s="6"/>
      <c r="M39" s="4"/>
      <c r="N39" s="4"/>
      <c r="O39" s="6"/>
      <c r="P39" s="6"/>
      <c r="Q39" s="6"/>
      <c r="R39" s="6"/>
      <c r="S39" s="6" t="s">
        <v>700</v>
      </c>
      <c r="T39" s="6">
        <v>154</v>
      </c>
      <c r="U39" s="6">
        <v>0</v>
      </c>
      <c r="V39" s="6">
        <v>0</v>
      </c>
      <c r="W39" s="6" t="s">
        <v>702</v>
      </c>
      <c r="X39" s="6" t="s">
        <v>703</v>
      </c>
    </row>
    <row r="40" spans="1:24" ht="27">
      <c r="A40" s="19"/>
      <c r="B40" s="19"/>
      <c r="C40" s="19"/>
      <c r="D40" s="19" t="s">
        <v>74</v>
      </c>
      <c r="E40" s="19"/>
      <c r="F40" s="19" t="s">
        <v>760</v>
      </c>
      <c r="G40" s="2" t="s">
        <v>77</v>
      </c>
      <c r="H40" s="4"/>
      <c r="I40" s="6"/>
      <c r="J40" s="6"/>
      <c r="K40" s="6"/>
      <c r="L40" s="6"/>
      <c r="M40" s="4"/>
      <c r="N40" s="4"/>
      <c r="O40" s="6"/>
      <c r="P40" s="6"/>
      <c r="Q40" s="6"/>
      <c r="R40" s="6"/>
      <c r="S40" s="6" t="s">
        <v>700</v>
      </c>
      <c r="T40" s="6">
        <v>155</v>
      </c>
      <c r="U40" s="6">
        <v>0</v>
      </c>
      <c r="V40" s="6">
        <v>0</v>
      </c>
      <c r="W40" s="6" t="s">
        <v>702</v>
      </c>
      <c r="X40" s="6" t="s">
        <v>703</v>
      </c>
    </row>
    <row r="41" spans="1:24">
      <c r="A41" s="19"/>
      <c r="B41" s="19" t="s">
        <v>761</v>
      </c>
      <c r="C41" s="19" t="s">
        <v>762</v>
      </c>
      <c r="D41" s="19" t="s">
        <v>74</v>
      </c>
      <c r="E41" s="19" t="s">
        <v>763</v>
      </c>
      <c r="F41" s="19"/>
      <c r="G41" s="2" t="s">
        <v>764</v>
      </c>
      <c r="H41" s="4"/>
      <c r="I41" s="6"/>
      <c r="J41" s="6"/>
      <c r="K41" s="6"/>
      <c r="L41" s="6"/>
      <c r="M41" s="4"/>
      <c r="N41" s="4"/>
      <c r="O41" s="6" t="s">
        <v>761</v>
      </c>
      <c r="P41" s="6"/>
      <c r="Q41" s="6"/>
      <c r="R41" s="6"/>
      <c r="S41" s="6" t="s">
        <v>765</v>
      </c>
      <c r="T41" s="6">
        <v>156</v>
      </c>
      <c r="U41" s="6" t="s">
        <v>766</v>
      </c>
      <c r="V41" s="6" t="s">
        <v>767</v>
      </c>
      <c r="W41" s="6" t="s">
        <v>702</v>
      </c>
      <c r="X41" s="6" t="s">
        <v>768</v>
      </c>
    </row>
    <row r="42" spans="1:24" ht="66.599999999999994">
      <c r="A42" s="19"/>
      <c r="B42" s="19" t="s">
        <v>769</v>
      </c>
      <c r="C42" s="19" t="s">
        <v>762</v>
      </c>
      <c r="D42" s="19" t="s">
        <v>74</v>
      </c>
      <c r="E42" s="19" t="s">
        <v>770</v>
      </c>
      <c r="F42" s="19"/>
      <c r="G42" s="2" t="s">
        <v>764</v>
      </c>
      <c r="H42" s="4"/>
      <c r="I42" s="6"/>
      <c r="J42" s="6"/>
      <c r="K42" s="6"/>
      <c r="L42" s="6"/>
      <c r="M42" s="4"/>
      <c r="N42" s="4"/>
      <c r="O42" s="6" t="s">
        <v>769</v>
      </c>
      <c r="P42" s="6"/>
      <c r="Q42" s="6"/>
      <c r="R42" s="6"/>
      <c r="S42" s="6" t="s">
        <v>771</v>
      </c>
      <c r="T42" s="6">
        <v>157</v>
      </c>
      <c r="U42" s="6" t="s">
        <v>743</v>
      </c>
      <c r="V42" s="6"/>
      <c r="W42" s="6" t="s">
        <v>702</v>
      </c>
      <c r="X42" s="6" t="s">
        <v>768</v>
      </c>
    </row>
    <row r="43" spans="1:24" ht="27">
      <c r="A43" s="19"/>
      <c r="B43" s="19" t="s">
        <v>772</v>
      </c>
      <c r="C43" s="19" t="s">
        <v>81</v>
      </c>
      <c r="D43" s="19" t="s">
        <v>74</v>
      </c>
      <c r="E43" s="19" t="s">
        <v>773</v>
      </c>
      <c r="F43" s="19"/>
      <c r="G43" s="2"/>
      <c r="H43" s="4"/>
      <c r="I43" s="6"/>
      <c r="J43" s="6"/>
      <c r="K43" s="6"/>
      <c r="L43" s="6"/>
      <c r="M43" s="4"/>
      <c r="N43" s="4"/>
      <c r="O43" s="6" t="s">
        <v>772</v>
      </c>
      <c r="P43" s="6"/>
      <c r="Q43" s="6"/>
      <c r="R43" s="6"/>
      <c r="S43" s="6" t="s">
        <v>774</v>
      </c>
      <c r="T43" s="6">
        <v>158</v>
      </c>
      <c r="U43" s="6"/>
      <c r="V43" s="6"/>
      <c r="W43" s="6" t="s">
        <v>702</v>
      </c>
      <c r="X43" s="6" t="s">
        <v>768</v>
      </c>
    </row>
    <row r="44" spans="1:24">
      <c r="A44" s="19"/>
      <c r="B44" s="19" t="s">
        <v>775</v>
      </c>
      <c r="C44" s="19" t="s">
        <v>81</v>
      </c>
      <c r="D44" s="19" t="s">
        <v>74</v>
      </c>
      <c r="E44" s="19" t="s">
        <v>776</v>
      </c>
      <c r="F44" s="19"/>
      <c r="G44" s="2"/>
      <c r="H44" s="6"/>
      <c r="I44" s="6"/>
      <c r="J44" s="6"/>
      <c r="K44" s="6"/>
      <c r="L44" s="6"/>
      <c r="M44" s="4"/>
      <c r="N44" s="4"/>
      <c r="O44" s="6" t="s">
        <v>775</v>
      </c>
      <c r="P44" s="6"/>
      <c r="Q44" s="6"/>
      <c r="R44" s="6"/>
      <c r="S44" s="6" t="s">
        <v>777</v>
      </c>
      <c r="T44" s="6">
        <v>159</v>
      </c>
      <c r="U44" s="6"/>
      <c r="V44" s="6"/>
      <c r="W44" s="6" t="s">
        <v>702</v>
      </c>
      <c r="X44" s="6" t="s">
        <v>768</v>
      </c>
    </row>
    <row r="45" spans="1:24" ht="40.15">
      <c r="A45" s="19"/>
      <c r="B45" s="19" t="s">
        <v>778</v>
      </c>
      <c r="C45" s="19" t="s">
        <v>81</v>
      </c>
      <c r="D45" s="19" t="s">
        <v>74</v>
      </c>
      <c r="E45" s="19" t="s">
        <v>779</v>
      </c>
      <c r="F45" s="19"/>
      <c r="G45" s="2"/>
      <c r="H45" s="6"/>
      <c r="I45" s="6"/>
      <c r="J45" s="6"/>
      <c r="K45" s="6"/>
      <c r="L45" s="6"/>
      <c r="M45" s="4"/>
      <c r="N45" s="4"/>
      <c r="O45" s="6"/>
      <c r="P45" s="6"/>
      <c r="Q45" s="6"/>
      <c r="R45" s="6"/>
      <c r="S45" s="6" t="s">
        <v>700</v>
      </c>
      <c r="T45" s="6">
        <v>160</v>
      </c>
      <c r="U45" s="6"/>
      <c r="V45" s="6"/>
      <c r="W45" s="6" t="s">
        <v>702</v>
      </c>
      <c r="X45" s="6" t="s">
        <v>768</v>
      </c>
    </row>
    <row r="46" spans="1:24" ht="106.15">
      <c r="A46" s="19"/>
      <c r="B46" s="19" t="s">
        <v>780</v>
      </c>
      <c r="C46" s="19" t="s">
        <v>762</v>
      </c>
      <c r="D46" s="19" t="s">
        <v>74</v>
      </c>
      <c r="E46" s="19" t="s">
        <v>781</v>
      </c>
      <c r="F46" s="19" t="s">
        <v>782</v>
      </c>
      <c r="G46" s="2"/>
      <c r="H46" s="6"/>
      <c r="I46" s="6"/>
      <c r="J46" s="6"/>
      <c r="K46" s="6"/>
      <c r="L46" s="6"/>
      <c r="M46" s="4"/>
      <c r="N46" s="4"/>
      <c r="O46" s="6"/>
      <c r="P46" s="6"/>
      <c r="Q46" s="6"/>
      <c r="R46" s="6"/>
      <c r="S46" s="6" t="s">
        <v>700</v>
      </c>
      <c r="T46" s="6">
        <v>161</v>
      </c>
      <c r="U46" s="6"/>
      <c r="V46" s="6"/>
      <c r="W46" s="6" t="s">
        <v>702</v>
      </c>
      <c r="X46" s="6" t="s">
        <v>768</v>
      </c>
    </row>
    <row r="47" spans="1:24">
      <c r="A47" s="19"/>
      <c r="B47" s="19"/>
      <c r="C47" s="19"/>
      <c r="D47" s="19"/>
      <c r="E47" s="19"/>
      <c r="F47" s="19"/>
      <c r="G47" s="2"/>
      <c r="H47" s="6"/>
      <c r="I47" s="6"/>
      <c r="J47" s="6"/>
      <c r="K47" s="6"/>
      <c r="L47" s="6"/>
      <c r="M47" s="6"/>
      <c r="N47" s="6"/>
      <c r="O47" s="6"/>
      <c r="P47" s="6"/>
      <c r="Q47" s="6"/>
      <c r="R47" s="6"/>
      <c r="S47" s="6" t="s">
        <v>700</v>
      </c>
      <c r="T47" s="6">
        <v>162</v>
      </c>
      <c r="U47" s="6">
        <v>0</v>
      </c>
      <c r="V47" s="6">
        <v>0</v>
      </c>
      <c r="W47" s="6" t="s">
        <v>702</v>
      </c>
      <c r="X47" s="6" t="s">
        <v>703</v>
      </c>
    </row>
    <row r="48" spans="1:24">
      <c r="A48" s="19"/>
      <c r="B48" s="19"/>
      <c r="C48" s="19"/>
      <c r="D48" s="19"/>
      <c r="E48" s="19"/>
      <c r="F48" s="19"/>
      <c r="G48" s="2"/>
      <c r="H48" s="6"/>
      <c r="I48" s="6"/>
      <c r="J48" s="6"/>
      <c r="K48" s="6"/>
      <c r="L48" s="6"/>
      <c r="M48" s="6"/>
      <c r="N48" s="6"/>
      <c r="O48" s="6"/>
      <c r="P48" s="6"/>
      <c r="Q48" s="6"/>
      <c r="R48" s="6"/>
      <c r="S48" s="6" t="s">
        <v>700</v>
      </c>
      <c r="T48" s="6">
        <v>163</v>
      </c>
      <c r="U48" s="6">
        <v>0</v>
      </c>
      <c r="V48" s="6">
        <v>0</v>
      </c>
      <c r="W48" s="6" t="s">
        <v>702</v>
      </c>
      <c r="X48" s="6" t="s">
        <v>703</v>
      </c>
    </row>
    <row r="49" spans="1:24">
      <c r="A49" s="19"/>
      <c r="B49" s="19"/>
      <c r="C49" s="19"/>
      <c r="D49" s="19"/>
      <c r="E49" s="19"/>
      <c r="F49" s="19"/>
      <c r="G49" s="2"/>
      <c r="H49" s="6"/>
      <c r="I49" s="6"/>
      <c r="J49" s="6"/>
      <c r="K49" s="6"/>
      <c r="L49" s="6"/>
      <c r="M49" s="6"/>
      <c r="N49" s="6"/>
      <c r="O49" s="6"/>
      <c r="P49" s="6"/>
      <c r="Q49" s="6"/>
      <c r="R49" s="6"/>
      <c r="S49" s="6" t="s">
        <v>700</v>
      </c>
      <c r="T49" s="6">
        <v>164</v>
      </c>
      <c r="U49" s="6">
        <v>0</v>
      </c>
      <c r="V49" s="6">
        <v>0</v>
      </c>
      <c r="W49" s="6" t="s">
        <v>702</v>
      </c>
      <c r="X49" s="6" t="s">
        <v>703</v>
      </c>
    </row>
    <row r="50" spans="1:24" ht="40.15">
      <c r="A50" s="19"/>
      <c r="B50" s="19" t="s">
        <v>783</v>
      </c>
      <c r="C50" s="19" t="s">
        <v>95</v>
      </c>
      <c r="D50" s="19" t="s">
        <v>74</v>
      </c>
      <c r="E50" s="19" t="s">
        <v>784</v>
      </c>
      <c r="F50" s="19" t="s">
        <v>700</v>
      </c>
      <c r="G50" s="2"/>
      <c r="H50" s="23"/>
      <c r="I50" s="6"/>
      <c r="J50" s="6"/>
      <c r="K50" s="6"/>
      <c r="L50" s="6"/>
      <c r="M50" s="6"/>
      <c r="N50" s="6"/>
      <c r="O50" s="6"/>
      <c r="P50" s="6"/>
      <c r="Q50" s="6"/>
      <c r="R50" s="6"/>
      <c r="S50" s="6"/>
      <c r="T50" s="6"/>
      <c r="U50" s="6"/>
      <c r="V50" s="6"/>
      <c r="W50" s="6"/>
      <c r="X50" s="6"/>
    </row>
    <row r="51" spans="1:24" ht="79.900000000000006">
      <c r="A51" s="19"/>
      <c r="B51" s="19" t="s">
        <v>785</v>
      </c>
      <c r="C51" s="19" t="s">
        <v>95</v>
      </c>
      <c r="D51" s="19" t="s">
        <v>74</v>
      </c>
      <c r="E51" s="19" t="s">
        <v>786</v>
      </c>
      <c r="F51" s="19" t="s">
        <v>787</v>
      </c>
      <c r="G51" s="2"/>
      <c r="H51" s="23"/>
      <c r="I51" s="6"/>
      <c r="J51" s="6"/>
      <c r="K51" s="6"/>
      <c r="L51" s="6"/>
      <c r="M51" s="6"/>
      <c r="N51" s="6"/>
      <c r="O51" s="6"/>
      <c r="P51" s="6"/>
      <c r="Q51" s="6"/>
      <c r="R51" s="6"/>
      <c r="S51" s="6"/>
      <c r="T51" s="6"/>
      <c r="U51" s="6"/>
      <c r="V51" s="6"/>
      <c r="W51" s="6"/>
      <c r="X51" s="6"/>
    </row>
    <row r="52" spans="1:24" ht="132.6">
      <c r="A52" s="19"/>
      <c r="B52" s="19" t="s">
        <v>788</v>
      </c>
      <c r="C52" s="19" t="s">
        <v>81</v>
      </c>
      <c r="D52" s="19" t="s">
        <v>74</v>
      </c>
      <c r="E52" s="19" t="s">
        <v>789</v>
      </c>
      <c r="F52" s="19" t="s">
        <v>790</v>
      </c>
      <c r="G52" s="2" t="s">
        <v>93</v>
      </c>
      <c r="H52" s="23"/>
      <c r="I52" s="6"/>
      <c r="J52" s="6"/>
      <c r="K52" s="6"/>
      <c r="L52" s="6"/>
      <c r="M52" s="6"/>
      <c r="N52" s="6"/>
      <c r="O52" s="6"/>
      <c r="P52" s="6"/>
      <c r="Q52" s="6"/>
      <c r="R52" s="6"/>
      <c r="S52" s="6"/>
      <c r="T52" s="6"/>
      <c r="U52" s="6"/>
      <c r="V52" s="6"/>
      <c r="W52" s="6"/>
      <c r="X52" s="6"/>
    </row>
    <row r="53" spans="1:24" ht="79.900000000000006">
      <c r="A53" s="19"/>
      <c r="B53" s="19" t="s">
        <v>791</v>
      </c>
      <c r="C53" s="19" t="s">
        <v>81</v>
      </c>
      <c r="D53" s="19" t="s">
        <v>74</v>
      </c>
      <c r="E53" s="19" t="s">
        <v>792</v>
      </c>
      <c r="F53" s="19"/>
      <c r="G53" s="2" t="s">
        <v>90</v>
      </c>
      <c r="H53" s="23"/>
      <c r="I53" s="6"/>
      <c r="J53" s="6"/>
      <c r="K53" s="6"/>
      <c r="L53" s="6"/>
      <c r="M53" s="6"/>
      <c r="N53" s="6"/>
      <c r="O53" s="6"/>
      <c r="P53" s="6"/>
      <c r="Q53" s="6"/>
      <c r="R53" s="6"/>
      <c r="S53" s="6"/>
      <c r="T53" s="6"/>
      <c r="U53" s="6"/>
      <c r="V53" s="6"/>
      <c r="W53" s="6"/>
      <c r="X53" s="6"/>
    </row>
    <row r="54" spans="1:24" ht="93">
      <c r="A54" s="19"/>
      <c r="B54" s="19" t="s">
        <v>793</v>
      </c>
      <c r="C54" s="19" t="s">
        <v>81</v>
      </c>
      <c r="D54" s="19" t="s">
        <v>74</v>
      </c>
      <c r="E54" s="19" t="s">
        <v>794</v>
      </c>
      <c r="F54" s="19" t="s">
        <v>795</v>
      </c>
      <c r="G54" s="2" t="s">
        <v>93</v>
      </c>
      <c r="H54" s="23"/>
      <c r="I54" s="6"/>
      <c r="J54" s="6"/>
      <c r="K54" s="6"/>
      <c r="L54" s="6"/>
      <c r="M54" s="6"/>
      <c r="N54" s="6"/>
      <c r="O54" s="6"/>
      <c r="P54" s="6"/>
      <c r="Q54" s="6"/>
      <c r="R54" s="6"/>
      <c r="S54" s="6"/>
      <c r="T54" s="6"/>
      <c r="U54" s="6"/>
      <c r="V54" s="6"/>
      <c r="W54" s="6"/>
      <c r="X54" s="6"/>
    </row>
    <row r="55" spans="1:24" ht="53.45">
      <c r="A55" s="19"/>
      <c r="B55" s="19" t="s">
        <v>796</v>
      </c>
      <c r="C55" s="19" t="s">
        <v>81</v>
      </c>
      <c r="D55" s="19" t="s">
        <v>74</v>
      </c>
      <c r="E55" s="19" t="s">
        <v>797</v>
      </c>
      <c r="F55" s="19" t="s">
        <v>798</v>
      </c>
      <c r="G55" s="2" t="s">
        <v>93</v>
      </c>
      <c r="H55" s="23"/>
      <c r="I55" s="6"/>
      <c r="J55" s="6"/>
      <c r="K55" s="6"/>
      <c r="L55" s="6"/>
      <c r="M55" s="6"/>
      <c r="N55" s="6"/>
      <c r="O55" s="6"/>
      <c r="P55" s="6"/>
      <c r="Q55" s="6"/>
      <c r="R55" s="6"/>
      <c r="S55" s="6"/>
      <c r="T55" s="6"/>
      <c r="U55" s="6"/>
      <c r="V55" s="6"/>
      <c r="W55" s="6"/>
      <c r="X55" s="6"/>
    </row>
    <row r="56" spans="1:24" ht="79.900000000000006">
      <c r="A56" s="19"/>
      <c r="B56" s="19" t="s">
        <v>799</v>
      </c>
      <c r="C56" s="19" t="s">
        <v>800</v>
      </c>
      <c r="D56" s="19" t="s">
        <v>74</v>
      </c>
      <c r="E56" s="19" t="s">
        <v>801</v>
      </c>
      <c r="F56" s="19" t="s">
        <v>802</v>
      </c>
      <c r="G56" s="2" t="s">
        <v>93</v>
      </c>
      <c r="H56" s="23"/>
      <c r="I56" s="6"/>
      <c r="J56" s="6"/>
      <c r="K56" s="6"/>
      <c r="L56" s="6"/>
      <c r="M56" s="6"/>
      <c r="N56" s="6"/>
      <c r="O56" s="6"/>
      <c r="P56" s="6"/>
      <c r="Q56" s="6"/>
      <c r="R56" s="6"/>
      <c r="S56" s="6"/>
      <c r="T56" s="6"/>
      <c r="U56" s="6"/>
      <c r="V56" s="6"/>
      <c r="W56" s="6"/>
      <c r="X56" s="6"/>
    </row>
    <row r="57" spans="1:24" ht="27">
      <c r="A57" s="19"/>
      <c r="B57" s="19" t="s">
        <v>803</v>
      </c>
      <c r="C57" s="19" t="s">
        <v>81</v>
      </c>
      <c r="D57" s="19" t="s">
        <v>74</v>
      </c>
      <c r="E57" s="19" t="s">
        <v>804</v>
      </c>
      <c r="F57" s="19"/>
      <c r="G57" s="2" t="s">
        <v>90</v>
      </c>
      <c r="H57" s="23"/>
      <c r="I57" s="6"/>
      <c r="J57" s="6"/>
      <c r="K57" s="6"/>
      <c r="L57" s="6"/>
      <c r="M57" s="6"/>
      <c r="N57" s="6"/>
      <c r="O57" s="6"/>
      <c r="P57" s="6"/>
      <c r="Q57" s="6"/>
      <c r="R57" s="6"/>
      <c r="S57" s="6"/>
      <c r="T57" s="6"/>
      <c r="U57" s="6"/>
      <c r="V57" s="6"/>
      <c r="W57" s="6"/>
      <c r="X57" s="6"/>
    </row>
    <row r="58" spans="1:24" ht="66.599999999999994">
      <c r="A58" s="19"/>
      <c r="B58" s="19" t="s">
        <v>805</v>
      </c>
      <c r="C58" s="19" t="s">
        <v>81</v>
      </c>
      <c r="D58" s="19" t="s">
        <v>74</v>
      </c>
      <c r="E58" s="19" t="s">
        <v>806</v>
      </c>
      <c r="F58" s="19" t="s">
        <v>807</v>
      </c>
      <c r="G58" s="2" t="s">
        <v>90</v>
      </c>
      <c r="H58" s="23"/>
      <c r="I58" s="6"/>
      <c r="J58" s="6"/>
      <c r="K58" s="6"/>
      <c r="L58" s="6"/>
      <c r="M58" s="6"/>
      <c r="N58" s="6"/>
      <c r="O58" s="6"/>
      <c r="P58" s="6"/>
      <c r="Q58" s="6"/>
      <c r="R58" s="6"/>
      <c r="S58" s="6"/>
      <c r="T58" s="6"/>
      <c r="U58" s="6"/>
      <c r="V58" s="6"/>
      <c r="W58" s="6"/>
      <c r="X58" s="6"/>
    </row>
    <row r="59" spans="1:24" ht="66.599999999999994">
      <c r="A59" s="19"/>
      <c r="B59" s="19" t="s">
        <v>808</v>
      </c>
      <c r="C59" s="19" t="s">
        <v>95</v>
      </c>
      <c r="D59" s="19" t="s">
        <v>74</v>
      </c>
      <c r="E59" s="19"/>
      <c r="F59" s="19" t="s">
        <v>809</v>
      </c>
      <c r="G59" s="2" t="s">
        <v>90</v>
      </c>
      <c r="H59" s="23"/>
      <c r="I59" s="6"/>
      <c r="J59" s="6"/>
      <c r="K59" s="6"/>
      <c r="L59" s="6"/>
      <c r="M59" s="6"/>
      <c r="N59" s="6"/>
      <c r="O59" s="6"/>
      <c r="P59" s="6"/>
      <c r="Q59" s="6"/>
      <c r="R59" s="6"/>
      <c r="S59" s="6"/>
      <c r="T59" s="6"/>
      <c r="U59" s="6"/>
      <c r="V59" s="6"/>
      <c r="W59" s="6"/>
      <c r="X59" s="6"/>
    </row>
    <row r="60" spans="1:24" ht="53.45">
      <c r="A60" s="19"/>
      <c r="B60" s="19" t="s">
        <v>810</v>
      </c>
      <c r="C60" s="19" t="s">
        <v>800</v>
      </c>
      <c r="D60" s="19" t="s">
        <v>74</v>
      </c>
      <c r="E60" s="19" t="s">
        <v>811</v>
      </c>
      <c r="F60" s="19" t="s">
        <v>812</v>
      </c>
      <c r="G60" s="2" t="s">
        <v>93</v>
      </c>
      <c r="H60" s="23"/>
      <c r="I60" s="6"/>
      <c r="J60" s="6"/>
      <c r="K60" s="6"/>
      <c r="L60" s="6"/>
      <c r="M60" s="6"/>
      <c r="N60" s="6"/>
      <c r="O60" s="6"/>
      <c r="P60" s="6"/>
      <c r="Q60" s="6"/>
      <c r="R60" s="6"/>
      <c r="S60" s="6"/>
      <c r="T60" s="6"/>
      <c r="U60" s="6"/>
      <c r="V60" s="6"/>
      <c r="W60" s="6"/>
      <c r="X60" s="6"/>
    </row>
    <row r="61" spans="1:24" ht="40.15">
      <c r="A61" s="19"/>
      <c r="B61" s="19" t="s">
        <v>813</v>
      </c>
      <c r="C61" s="19" t="s">
        <v>95</v>
      </c>
      <c r="D61" s="19" t="s">
        <v>74</v>
      </c>
      <c r="E61" s="19"/>
      <c r="F61" s="19"/>
      <c r="G61" s="2" t="s">
        <v>85</v>
      </c>
      <c r="H61" s="23"/>
      <c r="I61" s="6"/>
      <c r="J61" s="6"/>
      <c r="K61" s="6"/>
      <c r="L61" s="6"/>
      <c r="M61" s="6"/>
      <c r="N61" s="6"/>
      <c r="O61" s="6"/>
      <c r="P61" s="6"/>
      <c r="Q61" s="6"/>
      <c r="R61" s="6"/>
      <c r="S61" s="6"/>
      <c r="T61" s="6"/>
      <c r="U61" s="6"/>
      <c r="V61" s="6"/>
      <c r="W61" s="6"/>
      <c r="X61" s="6"/>
    </row>
    <row r="62" spans="1:24" ht="93">
      <c r="A62" s="19"/>
      <c r="B62" s="19" t="s">
        <v>814</v>
      </c>
      <c r="C62" s="19" t="s">
        <v>81</v>
      </c>
      <c r="D62" s="19" t="s">
        <v>74</v>
      </c>
      <c r="E62" s="19" t="s">
        <v>815</v>
      </c>
      <c r="F62" s="19" t="s">
        <v>816</v>
      </c>
      <c r="G62" s="2" t="s">
        <v>90</v>
      </c>
      <c r="H62" s="23"/>
      <c r="I62" s="6"/>
      <c r="J62" s="6"/>
      <c r="K62" s="6"/>
      <c r="L62" s="6"/>
      <c r="M62" s="6"/>
      <c r="N62" s="6"/>
      <c r="O62" s="6"/>
      <c r="P62" s="6"/>
      <c r="Q62" s="6"/>
      <c r="R62" s="6"/>
      <c r="S62" s="6"/>
      <c r="T62" s="6"/>
      <c r="U62" s="6"/>
      <c r="V62" s="6"/>
      <c r="W62" s="6"/>
      <c r="X62" s="6"/>
    </row>
    <row r="63" spans="1:24" ht="66.599999999999994">
      <c r="A63" s="19"/>
      <c r="B63" s="19" t="s">
        <v>817</v>
      </c>
      <c r="C63" s="19" t="s">
        <v>95</v>
      </c>
      <c r="D63" s="19" t="s">
        <v>74</v>
      </c>
      <c r="E63" s="19" t="s">
        <v>818</v>
      </c>
      <c r="F63" s="19" t="s">
        <v>819</v>
      </c>
      <c r="G63" s="2" t="s">
        <v>93</v>
      </c>
      <c r="H63" s="23"/>
      <c r="I63" s="6"/>
      <c r="J63" s="6"/>
      <c r="K63" s="6"/>
      <c r="L63" s="6"/>
      <c r="M63" s="6"/>
      <c r="N63" s="6"/>
      <c r="O63" s="6"/>
      <c r="P63" s="6"/>
      <c r="Q63" s="6"/>
      <c r="R63" s="6"/>
      <c r="S63" s="6"/>
      <c r="T63" s="6"/>
      <c r="U63" s="6"/>
      <c r="V63" s="6"/>
      <c r="W63" s="6"/>
      <c r="X63" s="6"/>
    </row>
    <row r="64" spans="1:24" ht="27">
      <c r="A64" s="19"/>
      <c r="B64" s="19" t="s">
        <v>820</v>
      </c>
      <c r="C64" s="19" t="s">
        <v>81</v>
      </c>
      <c r="D64" s="19" t="s">
        <v>74</v>
      </c>
      <c r="E64" s="19" t="s">
        <v>821</v>
      </c>
      <c r="F64" s="19"/>
      <c r="G64" s="2" t="s">
        <v>77</v>
      </c>
      <c r="H64" s="23"/>
      <c r="I64" s="6"/>
      <c r="J64" s="6"/>
      <c r="K64" s="6"/>
      <c r="L64" s="6"/>
      <c r="M64" s="6"/>
      <c r="N64" s="6"/>
      <c r="O64" s="6"/>
      <c r="P64" s="6"/>
      <c r="Q64" s="6"/>
      <c r="R64" s="6"/>
      <c r="S64" s="6"/>
      <c r="T64" s="6"/>
      <c r="U64" s="6"/>
      <c r="V64" s="6"/>
      <c r="W64" s="6"/>
      <c r="X64" s="6"/>
    </row>
    <row r="65" spans="1:24" ht="27">
      <c r="A65" s="19"/>
      <c r="B65" s="19" t="s">
        <v>822</v>
      </c>
      <c r="C65" s="19" t="s">
        <v>800</v>
      </c>
      <c r="D65" s="19" t="s">
        <v>74</v>
      </c>
      <c r="E65" s="19" t="s">
        <v>823</v>
      </c>
      <c r="F65" s="19" t="s">
        <v>824</v>
      </c>
      <c r="G65" s="2" t="s">
        <v>85</v>
      </c>
      <c r="H65" s="23"/>
      <c r="I65" s="6"/>
      <c r="J65" s="6"/>
      <c r="K65" s="6"/>
      <c r="L65" s="6"/>
      <c r="M65" s="6"/>
      <c r="N65" s="6"/>
      <c r="O65" s="6"/>
      <c r="P65" s="6"/>
      <c r="Q65" s="6"/>
      <c r="R65" s="6"/>
      <c r="S65" s="6"/>
      <c r="T65" s="6"/>
      <c r="U65" s="6"/>
      <c r="V65" s="6"/>
      <c r="W65" s="6"/>
      <c r="X65" s="6"/>
    </row>
    <row r="66" spans="1:24" ht="79.900000000000006">
      <c r="A66" s="19"/>
      <c r="B66" s="19" t="s">
        <v>825</v>
      </c>
      <c r="C66" s="19" t="s">
        <v>81</v>
      </c>
      <c r="D66" s="19" t="s">
        <v>74</v>
      </c>
      <c r="E66" s="19" t="s">
        <v>826</v>
      </c>
      <c r="F66" s="19" t="s">
        <v>827</v>
      </c>
      <c r="G66" s="2" t="s">
        <v>93</v>
      </c>
      <c r="H66" s="23"/>
      <c r="I66" s="6"/>
      <c r="J66" s="6"/>
      <c r="K66" s="6"/>
      <c r="L66" s="6"/>
      <c r="M66" s="6"/>
      <c r="N66" s="6"/>
      <c r="O66" s="6"/>
      <c r="P66" s="6"/>
      <c r="Q66" s="6"/>
      <c r="R66" s="6"/>
      <c r="S66" s="6"/>
      <c r="T66" s="6"/>
      <c r="U66" s="6"/>
      <c r="V66" s="6"/>
      <c r="W66" s="6"/>
      <c r="X66" s="6"/>
    </row>
    <row r="67" spans="1:24" ht="27">
      <c r="A67" s="19"/>
      <c r="B67" s="19" t="s">
        <v>828</v>
      </c>
      <c r="C67" s="19" t="s">
        <v>81</v>
      </c>
      <c r="D67" s="19" t="s">
        <v>74</v>
      </c>
      <c r="E67" s="19" t="s">
        <v>829</v>
      </c>
      <c r="F67" s="19"/>
      <c r="G67" s="2" t="s">
        <v>93</v>
      </c>
      <c r="H67" s="23"/>
      <c r="I67" s="6"/>
      <c r="J67" s="6"/>
      <c r="K67" s="6"/>
      <c r="L67" s="6"/>
      <c r="M67" s="6"/>
      <c r="N67" s="6"/>
      <c r="O67" s="6"/>
      <c r="P67" s="6"/>
      <c r="Q67" s="6"/>
      <c r="R67" s="6"/>
      <c r="S67" s="6"/>
      <c r="T67" s="6"/>
      <c r="U67" s="6"/>
      <c r="V67" s="6"/>
      <c r="W67" s="6"/>
      <c r="X67" s="6"/>
    </row>
    <row r="68" spans="1:24">
      <c r="A68" s="19"/>
      <c r="B68" s="19" t="s">
        <v>830</v>
      </c>
      <c r="C68" s="19" t="s">
        <v>81</v>
      </c>
      <c r="D68" s="19" t="s">
        <v>74</v>
      </c>
      <c r="E68" s="19" t="s">
        <v>831</v>
      </c>
      <c r="F68" s="19"/>
      <c r="G68" s="2" t="s">
        <v>90</v>
      </c>
      <c r="H68" s="23"/>
      <c r="I68" s="6"/>
      <c r="J68" s="6"/>
      <c r="K68" s="6"/>
      <c r="L68" s="6"/>
      <c r="M68" s="6"/>
      <c r="N68" s="6"/>
      <c r="O68" s="6"/>
      <c r="P68" s="6"/>
      <c r="Q68" s="6"/>
      <c r="R68" s="6"/>
      <c r="S68" s="6"/>
      <c r="T68" s="6"/>
      <c r="U68" s="6"/>
      <c r="V68" s="6"/>
      <c r="W68" s="6"/>
      <c r="X68" s="6"/>
    </row>
    <row r="69" spans="1:24" ht="27">
      <c r="A69" s="19"/>
      <c r="B69" s="19" t="s">
        <v>180</v>
      </c>
      <c r="C69" s="19" t="s">
        <v>81</v>
      </c>
      <c r="D69" s="19" t="s">
        <v>74</v>
      </c>
      <c r="E69" s="19" t="s">
        <v>832</v>
      </c>
      <c r="F69" s="19" t="s">
        <v>833</v>
      </c>
      <c r="G69" s="2" t="s">
        <v>90</v>
      </c>
      <c r="H69" s="23"/>
      <c r="I69" s="6"/>
      <c r="J69" s="6"/>
      <c r="K69" s="6"/>
      <c r="L69" s="6"/>
      <c r="M69" s="6"/>
      <c r="N69" s="6"/>
      <c r="O69" s="6"/>
      <c r="P69" s="6"/>
      <c r="Q69" s="6"/>
      <c r="R69" s="6"/>
      <c r="S69" s="6"/>
      <c r="T69" s="6"/>
      <c r="U69" s="6"/>
      <c r="V69" s="6"/>
      <c r="W69" s="6"/>
      <c r="X69" s="6"/>
    </row>
    <row r="70" spans="1:24" ht="27">
      <c r="A70" s="19"/>
      <c r="B70" s="19" t="s">
        <v>834</v>
      </c>
      <c r="C70" s="19" t="s">
        <v>81</v>
      </c>
      <c r="D70" s="19" t="s">
        <v>74</v>
      </c>
      <c r="E70" s="19" t="s">
        <v>835</v>
      </c>
      <c r="F70" s="19" t="s">
        <v>833</v>
      </c>
      <c r="G70" s="2" t="s">
        <v>90</v>
      </c>
      <c r="H70" s="23"/>
      <c r="I70" s="6"/>
      <c r="J70" s="6"/>
      <c r="K70" s="6"/>
      <c r="L70" s="6"/>
      <c r="M70" s="6"/>
      <c r="N70" s="6"/>
      <c r="O70" s="6"/>
      <c r="P70" s="6"/>
      <c r="Q70" s="6"/>
      <c r="R70" s="6"/>
      <c r="S70" s="6"/>
      <c r="T70" s="6"/>
      <c r="U70" s="6"/>
      <c r="V70" s="6"/>
      <c r="W70" s="6"/>
      <c r="X70" s="6"/>
    </row>
    <row r="71" spans="1:24" ht="53.45">
      <c r="A71" s="19"/>
      <c r="B71" s="19" t="s">
        <v>148</v>
      </c>
      <c r="C71" s="19" t="s">
        <v>81</v>
      </c>
      <c r="D71" s="19" t="s">
        <v>74</v>
      </c>
      <c r="E71" s="19" t="s">
        <v>836</v>
      </c>
      <c r="F71" s="19"/>
      <c r="G71" s="2" t="s">
        <v>90</v>
      </c>
      <c r="H71" s="23"/>
      <c r="I71" s="6"/>
      <c r="J71" s="6"/>
      <c r="K71" s="6"/>
      <c r="L71" s="6"/>
      <c r="M71" s="6"/>
      <c r="N71" s="6"/>
      <c r="O71" s="6"/>
      <c r="P71" s="6"/>
      <c r="Q71" s="6"/>
      <c r="R71" s="6"/>
      <c r="S71" s="6"/>
      <c r="T71" s="6"/>
      <c r="U71" s="6"/>
      <c r="V71" s="6"/>
      <c r="W71" s="6"/>
      <c r="X71" s="6"/>
    </row>
    <row r="72" spans="1:24" ht="79.900000000000006">
      <c r="A72" s="19"/>
      <c r="B72" s="19" t="s">
        <v>143</v>
      </c>
      <c r="C72" s="19" t="s">
        <v>81</v>
      </c>
      <c r="D72" s="19" t="s">
        <v>74</v>
      </c>
      <c r="E72" s="19" t="s">
        <v>837</v>
      </c>
      <c r="F72" s="19"/>
      <c r="G72" s="2" t="s">
        <v>90</v>
      </c>
      <c r="H72" s="23"/>
      <c r="I72" s="6"/>
      <c r="J72" s="6"/>
      <c r="K72" s="6"/>
      <c r="L72" s="6"/>
      <c r="M72" s="6"/>
      <c r="N72" s="6"/>
      <c r="O72" s="6"/>
      <c r="P72" s="6"/>
      <c r="Q72" s="6"/>
      <c r="R72" s="6"/>
      <c r="S72" s="6"/>
      <c r="T72" s="6"/>
      <c r="U72" s="6"/>
      <c r="V72" s="6"/>
      <c r="W72" s="6"/>
      <c r="X72" s="6"/>
    </row>
    <row r="73" spans="1:24" ht="66.599999999999994">
      <c r="A73" s="19"/>
      <c r="B73" s="19" t="s">
        <v>838</v>
      </c>
      <c r="C73" s="19" t="s">
        <v>81</v>
      </c>
      <c r="D73" s="19" t="s">
        <v>74</v>
      </c>
      <c r="E73" s="19"/>
      <c r="F73" s="19" t="s">
        <v>839</v>
      </c>
      <c r="G73" s="2" t="s">
        <v>90</v>
      </c>
      <c r="H73" s="23"/>
      <c r="I73" s="6"/>
      <c r="J73" s="6"/>
      <c r="K73" s="6"/>
      <c r="L73" s="6"/>
      <c r="M73" s="6"/>
      <c r="N73" s="6"/>
      <c r="O73" s="6"/>
      <c r="P73" s="6"/>
      <c r="Q73" s="6"/>
      <c r="R73" s="6"/>
      <c r="S73" s="6"/>
      <c r="T73" s="6"/>
      <c r="U73" s="6"/>
      <c r="V73" s="6"/>
      <c r="W73" s="6"/>
      <c r="X73" s="6"/>
    </row>
    <row r="74" spans="1:24" ht="79.900000000000006">
      <c r="A74" s="19"/>
      <c r="B74" s="19" t="s">
        <v>840</v>
      </c>
      <c r="C74" s="19" t="s">
        <v>81</v>
      </c>
      <c r="D74" s="19" t="s">
        <v>74</v>
      </c>
      <c r="E74" s="19" t="s">
        <v>841</v>
      </c>
      <c r="F74" s="19" t="s">
        <v>842</v>
      </c>
      <c r="G74" s="2" t="s">
        <v>90</v>
      </c>
      <c r="H74" s="23"/>
      <c r="I74" s="6"/>
      <c r="J74" s="6"/>
      <c r="K74" s="6"/>
      <c r="L74" s="6"/>
      <c r="M74" s="6"/>
      <c r="N74" s="6"/>
      <c r="O74" s="6"/>
      <c r="P74" s="6"/>
      <c r="Q74" s="6"/>
      <c r="R74" s="6"/>
      <c r="S74" s="6"/>
      <c r="T74" s="6"/>
      <c r="U74" s="6"/>
      <c r="V74" s="6"/>
      <c r="W74" s="6"/>
      <c r="X74" s="6"/>
    </row>
    <row r="75" spans="1:24" ht="27">
      <c r="A75" s="19"/>
      <c r="B75" s="19" t="s">
        <v>843</v>
      </c>
      <c r="C75" s="19" t="s">
        <v>95</v>
      </c>
      <c r="D75" s="19" t="s">
        <v>74</v>
      </c>
      <c r="E75" s="19" t="s">
        <v>844</v>
      </c>
      <c r="F75" s="19" t="s">
        <v>845</v>
      </c>
      <c r="G75" s="2" t="s">
        <v>93</v>
      </c>
      <c r="H75" s="23"/>
      <c r="I75" s="6"/>
      <c r="J75" s="6"/>
      <c r="K75" s="6"/>
      <c r="L75" s="6"/>
      <c r="M75" s="6"/>
      <c r="N75" s="6"/>
      <c r="O75" s="6"/>
      <c r="P75" s="6"/>
      <c r="Q75" s="6"/>
      <c r="R75" s="6"/>
      <c r="S75" s="6"/>
      <c r="T75" s="6"/>
      <c r="U75" s="6"/>
      <c r="V75" s="6"/>
      <c r="W75" s="6"/>
      <c r="X75" s="6"/>
    </row>
    <row r="76" spans="1:24" ht="53.45">
      <c r="A76" s="19"/>
      <c r="B76" s="19" t="s">
        <v>846</v>
      </c>
      <c r="C76" s="19" t="s">
        <v>95</v>
      </c>
      <c r="D76" s="19" t="s">
        <v>74</v>
      </c>
      <c r="E76" s="19" t="s">
        <v>847</v>
      </c>
      <c r="F76" s="19"/>
      <c r="G76" s="2" t="s">
        <v>90</v>
      </c>
      <c r="H76" s="23"/>
      <c r="I76" s="6"/>
      <c r="J76" s="6"/>
      <c r="K76" s="6"/>
      <c r="L76" s="6"/>
      <c r="M76" s="6"/>
      <c r="N76" s="6"/>
      <c r="O76" s="6"/>
      <c r="P76" s="6"/>
      <c r="Q76" s="6"/>
      <c r="R76" s="6"/>
      <c r="S76" s="6"/>
      <c r="T76" s="6"/>
      <c r="U76" s="6"/>
      <c r="V76" s="6"/>
      <c r="W76" s="6"/>
      <c r="X76" s="6"/>
    </row>
    <row r="77" spans="1:24" ht="27">
      <c r="A77" s="19"/>
      <c r="B77" s="19" t="s">
        <v>848</v>
      </c>
      <c r="C77" s="19" t="s">
        <v>95</v>
      </c>
      <c r="D77" s="19" t="s">
        <v>74</v>
      </c>
      <c r="E77" s="19" t="s">
        <v>849</v>
      </c>
      <c r="F77" s="19"/>
      <c r="G77" s="2" t="s">
        <v>77</v>
      </c>
      <c r="H77" s="23"/>
      <c r="I77" s="6"/>
      <c r="J77" s="6"/>
      <c r="K77" s="6"/>
      <c r="L77" s="6"/>
      <c r="M77" s="6"/>
      <c r="N77" s="6"/>
      <c r="O77" s="6"/>
      <c r="P77" s="6"/>
      <c r="Q77" s="6"/>
      <c r="R77" s="6"/>
      <c r="S77" s="6"/>
      <c r="T77" s="6"/>
      <c r="U77" s="6"/>
      <c r="V77" s="6"/>
      <c r="W77" s="6"/>
      <c r="X77" s="6"/>
    </row>
    <row r="78" spans="1:24" ht="106.15">
      <c r="A78" s="19"/>
      <c r="B78" s="19" t="s">
        <v>850</v>
      </c>
      <c r="C78" s="19" t="s">
        <v>95</v>
      </c>
      <c r="D78" s="19" t="s">
        <v>74</v>
      </c>
      <c r="E78" s="19" t="s">
        <v>851</v>
      </c>
      <c r="F78" s="19"/>
      <c r="G78" s="2" t="s">
        <v>93</v>
      </c>
      <c r="H78" s="23"/>
      <c r="I78" s="6"/>
      <c r="J78" s="6"/>
      <c r="K78" s="6"/>
      <c r="L78" s="6"/>
      <c r="M78" s="6"/>
      <c r="N78" s="6"/>
      <c r="O78" s="6"/>
      <c r="P78" s="6"/>
      <c r="Q78" s="6"/>
      <c r="R78" s="6"/>
      <c r="S78" s="6"/>
      <c r="T78" s="6"/>
      <c r="U78" s="6"/>
      <c r="V78" s="6"/>
      <c r="W78" s="6"/>
      <c r="X78" s="6"/>
    </row>
    <row r="79" spans="1:24" ht="40.15">
      <c r="A79" s="19"/>
      <c r="B79" s="19" t="s">
        <v>852</v>
      </c>
      <c r="C79" s="19" t="s">
        <v>95</v>
      </c>
      <c r="D79" s="19" t="s">
        <v>74</v>
      </c>
      <c r="E79" s="19" t="s">
        <v>853</v>
      </c>
      <c r="F79" s="19" t="s">
        <v>854</v>
      </c>
      <c r="G79" s="2" t="s">
        <v>93</v>
      </c>
      <c r="H79" s="23"/>
      <c r="I79" s="6"/>
      <c r="J79" s="6"/>
      <c r="K79" s="6"/>
      <c r="L79" s="6"/>
      <c r="M79" s="6"/>
      <c r="N79" s="6"/>
      <c r="O79" s="6"/>
      <c r="P79" s="6"/>
      <c r="Q79" s="6"/>
      <c r="R79" s="6"/>
      <c r="S79" s="6"/>
      <c r="T79" s="6"/>
      <c r="U79" s="6"/>
      <c r="V79" s="6"/>
      <c r="W79" s="6"/>
      <c r="X79" s="6"/>
    </row>
    <row r="80" spans="1:24" ht="93">
      <c r="A80" s="19"/>
      <c r="B80" s="19" t="s">
        <v>855</v>
      </c>
      <c r="C80" s="19" t="s">
        <v>81</v>
      </c>
      <c r="D80" s="19" t="s">
        <v>74</v>
      </c>
      <c r="E80" s="19" t="s">
        <v>856</v>
      </c>
      <c r="F80" s="19" t="s">
        <v>857</v>
      </c>
      <c r="G80" s="2" t="s">
        <v>85</v>
      </c>
      <c r="H80" s="23"/>
      <c r="I80" s="6"/>
      <c r="J80" s="6"/>
      <c r="K80" s="6"/>
      <c r="L80" s="6"/>
      <c r="M80" s="6"/>
      <c r="N80" s="6"/>
      <c r="O80" s="6"/>
      <c r="P80" s="6"/>
      <c r="Q80" s="6"/>
      <c r="R80" s="6"/>
      <c r="S80" s="6"/>
      <c r="T80" s="6"/>
      <c r="U80" s="6"/>
      <c r="V80" s="6"/>
      <c r="W80" s="6"/>
      <c r="X80" s="6"/>
    </row>
    <row r="81" spans="1:24" ht="40.15">
      <c r="A81" s="19"/>
      <c r="B81" s="19" t="s">
        <v>858</v>
      </c>
      <c r="C81" s="19" t="s">
        <v>800</v>
      </c>
      <c r="D81" s="19" t="s">
        <v>74</v>
      </c>
      <c r="E81" s="19" t="s">
        <v>859</v>
      </c>
      <c r="F81" s="19" t="s">
        <v>860</v>
      </c>
      <c r="G81" s="2" t="s">
        <v>93</v>
      </c>
      <c r="H81" s="23"/>
      <c r="I81" s="6"/>
      <c r="J81" s="6"/>
      <c r="K81" s="6"/>
      <c r="L81" s="6"/>
      <c r="M81" s="6"/>
      <c r="N81" s="6"/>
      <c r="O81" s="6"/>
      <c r="P81" s="6"/>
      <c r="Q81" s="6"/>
      <c r="R81" s="6"/>
      <c r="S81" s="6"/>
      <c r="T81" s="6"/>
      <c r="U81" s="6"/>
      <c r="V81" s="6"/>
      <c r="W81" s="6"/>
      <c r="X81" s="6"/>
    </row>
    <row r="82" spans="1:24" ht="79.900000000000006">
      <c r="A82" s="19"/>
      <c r="B82" s="19" t="s">
        <v>861</v>
      </c>
      <c r="C82" s="19" t="s">
        <v>81</v>
      </c>
      <c r="D82" s="19" t="s">
        <v>74</v>
      </c>
      <c r="E82" s="19" t="s">
        <v>862</v>
      </c>
      <c r="F82" s="19" t="s">
        <v>863</v>
      </c>
      <c r="G82" s="2" t="s">
        <v>93</v>
      </c>
      <c r="H82" s="23"/>
      <c r="I82" s="6"/>
      <c r="J82" s="6"/>
      <c r="K82" s="6"/>
      <c r="L82" s="6"/>
      <c r="M82" s="6"/>
      <c r="N82" s="6"/>
      <c r="O82" s="6"/>
      <c r="P82" s="6"/>
      <c r="Q82" s="6"/>
      <c r="R82" s="6"/>
      <c r="S82" s="6"/>
      <c r="T82" s="6"/>
      <c r="U82" s="6"/>
      <c r="V82" s="6"/>
      <c r="W82" s="6"/>
      <c r="X82" s="6"/>
    </row>
    <row r="83" spans="1:24" ht="53.45">
      <c r="A83" s="19" t="s">
        <v>864</v>
      </c>
      <c r="B83" s="19" t="s">
        <v>865</v>
      </c>
      <c r="C83" s="19" t="s">
        <v>95</v>
      </c>
      <c r="D83" s="19" t="s">
        <v>74</v>
      </c>
      <c r="E83" s="19" t="s">
        <v>866</v>
      </c>
      <c r="F83" s="19" t="s">
        <v>867</v>
      </c>
      <c r="G83" s="2" t="s">
        <v>93</v>
      </c>
      <c r="H83" s="23"/>
      <c r="I83" s="6"/>
      <c r="J83" s="6"/>
      <c r="K83" s="6"/>
      <c r="L83" s="6"/>
      <c r="M83" s="6"/>
      <c r="N83" s="6"/>
      <c r="O83" s="6"/>
      <c r="P83" s="6"/>
      <c r="Q83" s="6"/>
      <c r="R83" s="6"/>
      <c r="S83" s="6"/>
      <c r="T83" s="6"/>
      <c r="U83" s="6"/>
      <c r="V83" s="6"/>
      <c r="W83" s="6"/>
      <c r="X83" s="6"/>
    </row>
    <row r="84" spans="1:24" ht="27">
      <c r="A84" s="19"/>
      <c r="B84" s="19" t="s">
        <v>868</v>
      </c>
      <c r="C84" s="19" t="s">
        <v>800</v>
      </c>
      <c r="D84" s="19" t="s">
        <v>74</v>
      </c>
      <c r="E84" s="19"/>
      <c r="F84" s="19"/>
      <c r="G84" s="2" t="s">
        <v>85</v>
      </c>
      <c r="H84" s="23"/>
      <c r="I84" s="6"/>
      <c r="J84" s="6"/>
      <c r="K84" s="6"/>
      <c r="L84" s="6"/>
      <c r="M84" s="6"/>
      <c r="N84" s="6"/>
      <c r="O84" s="6"/>
      <c r="P84" s="6"/>
      <c r="Q84" s="6"/>
      <c r="R84" s="6"/>
      <c r="S84" s="6"/>
      <c r="T84" s="6"/>
      <c r="U84" s="6"/>
      <c r="V84" s="6"/>
      <c r="W84" s="6"/>
      <c r="X84" s="6"/>
    </row>
    <row r="85" spans="1:24" ht="53.45">
      <c r="A85" s="19"/>
      <c r="B85" s="19" t="s">
        <v>869</v>
      </c>
      <c r="C85" s="19" t="s">
        <v>95</v>
      </c>
      <c r="D85" s="19" t="s">
        <v>74</v>
      </c>
      <c r="E85" s="19"/>
      <c r="F85" s="19" t="s">
        <v>870</v>
      </c>
      <c r="G85" s="2" t="s">
        <v>93</v>
      </c>
      <c r="H85" s="23"/>
      <c r="I85" s="6"/>
      <c r="J85" s="6"/>
      <c r="K85" s="6"/>
      <c r="L85" s="6"/>
      <c r="M85" s="6"/>
      <c r="N85" s="6"/>
      <c r="O85" s="6"/>
      <c r="P85" s="6"/>
      <c r="Q85" s="6"/>
      <c r="R85" s="6"/>
      <c r="S85" s="6"/>
      <c r="T85" s="6"/>
      <c r="U85" s="6"/>
      <c r="V85" s="6"/>
      <c r="W85" s="6"/>
      <c r="X85" s="6"/>
    </row>
    <row r="86" spans="1:24" ht="53.45">
      <c r="A86" s="19"/>
      <c r="B86" s="19" t="s">
        <v>871</v>
      </c>
      <c r="C86" s="19" t="s">
        <v>95</v>
      </c>
      <c r="D86" s="19" t="s">
        <v>74</v>
      </c>
      <c r="E86" s="19" t="s">
        <v>872</v>
      </c>
      <c r="F86" s="19"/>
      <c r="G86" s="2" t="s">
        <v>93</v>
      </c>
      <c r="H86" s="23"/>
      <c r="I86" s="6"/>
      <c r="J86" s="6"/>
      <c r="K86" s="6"/>
      <c r="L86" s="6"/>
      <c r="M86" s="6"/>
      <c r="N86" s="6"/>
      <c r="O86" s="6"/>
      <c r="P86" s="6"/>
      <c r="Q86" s="6"/>
      <c r="R86" s="6"/>
      <c r="S86" s="6"/>
      <c r="T86" s="6"/>
      <c r="U86" s="6"/>
      <c r="V86" s="6"/>
      <c r="W86" s="6"/>
      <c r="X86" s="6"/>
    </row>
    <row r="87" spans="1:24" ht="27">
      <c r="A87" s="19"/>
      <c r="B87" s="19" t="s">
        <v>873</v>
      </c>
      <c r="C87" s="19" t="s">
        <v>95</v>
      </c>
      <c r="D87" s="19" t="s">
        <v>74</v>
      </c>
      <c r="E87" s="19"/>
      <c r="F87" s="19" t="s">
        <v>874</v>
      </c>
      <c r="G87" s="2"/>
      <c r="H87" s="23"/>
      <c r="I87" s="6"/>
      <c r="J87" s="6"/>
      <c r="K87" s="6"/>
      <c r="L87" s="6"/>
      <c r="M87" s="6"/>
      <c r="N87" s="6"/>
      <c r="O87" s="6"/>
      <c r="P87" s="6"/>
      <c r="Q87" s="6"/>
      <c r="R87" s="6"/>
      <c r="S87" s="6"/>
      <c r="T87" s="6"/>
      <c r="U87" s="6"/>
      <c r="V87" s="6"/>
      <c r="W87" s="6"/>
      <c r="X87" s="6"/>
    </row>
    <row r="88" spans="1:24" ht="40.15">
      <c r="A88" s="19"/>
      <c r="B88" s="19" t="s">
        <v>875</v>
      </c>
      <c r="C88" s="19" t="s">
        <v>95</v>
      </c>
      <c r="D88" s="19" t="s">
        <v>74</v>
      </c>
      <c r="E88" s="19" t="s">
        <v>876</v>
      </c>
      <c r="F88" s="19"/>
      <c r="G88" s="2"/>
      <c r="H88" s="23"/>
      <c r="I88" s="6"/>
      <c r="J88" s="6"/>
      <c r="K88" s="6"/>
      <c r="L88" s="6"/>
      <c r="M88" s="6"/>
      <c r="N88" s="6"/>
      <c r="O88" s="6"/>
      <c r="P88" s="6"/>
      <c r="Q88" s="6"/>
      <c r="R88" s="6"/>
      <c r="S88" s="6"/>
      <c r="T88" s="6"/>
      <c r="U88" s="6"/>
      <c r="V88" s="6"/>
      <c r="W88" s="6"/>
      <c r="X88" s="6"/>
    </row>
    <row r="89" spans="1:24" ht="40.15">
      <c r="A89" s="19"/>
      <c r="B89" s="19" t="s">
        <v>877</v>
      </c>
      <c r="C89" s="19" t="s">
        <v>95</v>
      </c>
      <c r="D89" s="19" t="s">
        <v>74</v>
      </c>
      <c r="E89" s="19" t="s">
        <v>878</v>
      </c>
      <c r="F89" s="19" t="s">
        <v>879</v>
      </c>
      <c r="G89" s="2" t="s">
        <v>90</v>
      </c>
      <c r="H89" s="23"/>
      <c r="I89" s="6"/>
      <c r="J89" s="6"/>
      <c r="K89" s="6"/>
      <c r="L89" s="6"/>
      <c r="M89" s="6"/>
      <c r="N89" s="6"/>
      <c r="O89" s="6"/>
      <c r="P89" s="6"/>
      <c r="Q89" s="6"/>
      <c r="R89" s="6"/>
      <c r="S89" s="6"/>
      <c r="T89" s="6"/>
      <c r="U89" s="6"/>
      <c r="V89" s="6"/>
      <c r="W89" s="6"/>
      <c r="X89" s="6"/>
    </row>
    <row r="90" spans="1:24" ht="93">
      <c r="A90" s="19" t="s">
        <v>880</v>
      </c>
      <c r="B90" s="19" t="s">
        <v>881</v>
      </c>
      <c r="C90" s="19" t="s">
        <v>95</v>
      </c>
      <c r="D90" s="19" t="s">
        <v>74</v>
      </c>
      <c r="E90" s="19" t="s">
        <v>882</v>
      </c>
      <c r="F90" s="19" t="s">
        <v>883</v>
      </c>
      <c r="G90" s="2" t="s">
        <v>93</v>
      </c>
      <c r="H90" s="23"/>
      <c r="I90" s="6"/>
      <c r="J90" s="6"/>
      <c r="K90" s="6"/>
      <c r="L90" s="6"/>
      <c r="M90" s="6"/>
      <c r="N90" s="6"/>
      <c r="O90" s="6"/>
      <c r="P90" s="6"/>
      <c r="Q90" s="6"/>
      <c r="R90" s="6"/>
      <c r="S90" s="6"/>
      <c r="T90" s="6"/>
      <c r="U90" s="6"/>
      <c r="V90" s="6"/>
      <c r="W90" s="6"/>
      <c r="X90" s="6"/>
    </row>
    <row r="91" spans="1:24" ht="27">
      <c r="A91" s="19"/>
      <c r="B91" s="19" t="s">
        <v>884</v>
      </c>
      <c r="C91" s="19" t="s">
        <v>95</v>
      </c>
      <c r="D91" s="19" t="s">
        <v>74</v>
      </c>
      <c r="E91" s="19" t="s">
        <v>885</v>
      </c>
      <c r="F91" s="19" t="s">
        <v>886</v>
      </c>
      <c r="G91" s="2" t="s">
        <v>85</v>
      </c>
      <c r="H91" s="23"/>
      <c r="I91" s="6"/>
      <c r="J91" s="6"/>
      <c r="K91" s="6"/>
      <c r="L91" s="6"/>
      <c r="M91" s="6"/>
      <c r="N91" s="6"/>
      <c r="O91" s="6"/>
      <c r="P91" s="6"/>
      <c r="Q91" s="6"/>
      <c r="R91" s="6"/>
      <c r="S91" s="6"/>
      <c r="T91" s="6"/>
      <c r="U91" s="6"/>
      <c r="V91" s="6"/>
      <c r="W91" s="6"/>
      <c r="X91" s="6"/>
    </row>
    <row r="92" spans="1:24" ht="53.45">
      <c r="A92" s="19" t="s">
        <v>887</v>
      </c>
      <c r="B92" s="19" t="s">
        <v>888</v>
      </c>
      <c r="C92" s="19" t="s">
        <v>95</v>
      </c>
      <c r="D92" s="19" t="s">
        <v>74</v>
      </c>
      <c r="E92" s="19" t="s">
        <v>889</v>
      </c>
      <c r="F92" s="19"/>
      <c r="G92" s="2" t="s">
        <v>90</v>
      </c>
      <c r="H92" s="23"/>
      <c r="I92" s="6"/>
      <c r="J92" s="6"/>
      <c r="K92" s="6"/>
      <c r="L92" s="6"/>
      <c r="M92" s="6"/>
      <c r="N92" s="6"/>
      <c r="O92" s="6"/>
      <c r="P92" s="6"/>
      <c r="Q92" s="6"/>
      <c r="R92" s="6"/>
      <c r="S92" s="6"/>
      <c r="T92" s="6"/>
      <c r="U92" s="6"/>
      <c r="V92" s="6"/>
      <c r="W92" s="6"/>
      <c r="X92" s="6"/>
    </row>
    <row r="93" spans="1:24" ht="40.15">
      <c r="A93" s="19"/>
      <c r="B93" s="19" t="s">
        <v>890</v>
      </c>
      <c r="C93" s="19" t="s">
        <v>95</v>
      </c>
      <c r="D93" s="19" t="s">
        <v>74</v>
      </c>
      <c r="E93" s="19" t="s">
        <v>891</v>
      </c>
      <c r="F93" s="19"/>
      <c r="G93" s="2"/>
      <c r="H93" s="23"/>
      <c r="I93" s="6"/>
      <c r="J93" s="6"/>
      <c r="K93" s="6"/>
      <c r="L93" s="6"/>
      <c r="M93" s="6"/>
      <c r="N93" s="6"/>
      <c r="O93" s="6"/>
      <c r="P93" s="6"/>
      <c r="Q93" s="6"/>
      <c r="R93" s="6"/>
      <c r="S93" s="6"/>
      <c r="T93" s="6"/>
      <c r="U93" s="6"/>
      <c r="V93" s="6"/>
      <c r="W93" s="6"/>
      <c r="X93" s="6"/>
    </row>
    <row r="94" spans="1:24" ht="66.599999999999994">
      <c r="A94" s="19"/>
      <c r="B94" s="19" t="s">
        <v>892</v>
      </c>
      <c r="C94" s="19" t="s">
        <v>95</v>
      </c>
      <c r="D94" s="19" t="s">
        <v>74</v>
      </c>
      <c r="E94" s="19" t="s">
        <v>893</v>
      </c>
      <c r="F94" s="19"/>
      <c r="G94" s="2" t="s">
        <v>93</v>
      </c>
      <c r="H94" s="23"/>
      <c r="I94" s="6"/>
      <c r="J94" s="6"/>
      <c r="K94" s="6"/>
      <c r="L94" s="6"/>
      <c r="M94" s="6"/>
      <c r="N94" s="6"/>
      <c r="O94" s="6"/>
      <c r="P94" s="6"/>
      <c r="Q94" s="6"/>
      <c r="R94" s="6"/>
      <c r="S94" s="6"/>
      <c r="T94" s="6"/>
      <c r="U94" s="6"/>
      <c r="V94" s="6"/>
      <c r="W94" s="6"/>
      <c r="X94" s="6"/>
    </row>
    <row r="95" spans="1:24" ht="66.599999999999994">
      <c r="A95" s="19"/>
      <c r="B95" s="19" t="s">
        <v>894</v>
      </c>
      <c r="C95" s="19" t="s">
        <v>81</v>
      </c>
      <c r="D95" s="19" t="s">
        <v>74</v>
      </c>
      <c r="E95" s="19"/>
      <c r="F95" s="19" t="s">
        <v>895</v>
      </c>
      <c r="G95" s="2" t="s">
        <v>90</v>
      </c>
      <c r="H95" s="23"/>
      <c r="I95" s="6"/>
      <c r="J95" s="6"/>
      <c r="K95" s="6"/>
      <c r="L95" s="6"/>
      <c r="M95" s="6"/>
      <c r="N95" s="6"/>
      <c r="O95" s="6"/>
      <c r="P95" s="6"/>
      <c r="Q95" s="6"/>
      <c r="R95" s="6"/>
      <c r="S95" s="6"/>
      <c r="T95" s="6"/>
      <c r="U95" s="6"/>
      <c r="V95" s="6"/>
      <c r="W95" s="6"/>
      <c r="X95" s="6"/>
    </row>
    <row r="96" spans="1:24" ht="145.9">
      <c r="A96" s="19"/>
      <c r="B96" s="19" t="s">
        <v>896</v>
      </c>
      <c r="C96" s="19" t="s">
        <v>95</v>
      </c>
      <c r="D96" s="19" t="s">
        <v>74</v>
      </c>
      <c r="E96" s="19" t="s">
        <v>897</v>
      </c>
      <c r="F96" s="19" t="s">
        <v>898</v>
      </c>
      <c r="G96" s="2" t="s">
        <v>85</v>
      </c>
      <c r="H96" s="23"/>
      <c r="I96" s="6"/>
      <c r="J96" s="6"/>
      <c r="K96" s="6"/>
      <c r="L96" s="6"/>
      <c r="M96" s="6"/>
      <c r="N96" s="6"/>
      <c r="O96" s="6"/>
      <c r="P96" s="6"/>
      <c r="Q96" s="6"/>
      <c r="R96" s="6"/>
      <c r="S96" s="6"/>
      <c r="T96" s="6"/>
      <c r="U96" s="6"/>
      <c r="V96" s="6"/>
      <c r="W96" s="6"/>
      <c r="X96" s="6"/>
    </row>
    <row r="97" spans="1:24" ht="79.900000000000006">
      <c r="A97" s="19"/>
      <c r="B97" s="19" t="s">
        <v>899</v>
      </c>
      <c r="C97" s="19" t="s">
        <v>95</v>
      </c>
      <c r="D97" s="19" t="s">
        <v>74</v>
      </c>
      <c r="E97" s="19"/>
      <c r="F97" s="19" t="s">
        <v>900</v>
      </c>
      <c r="G97" s="2" t="s">
        <v>90</v>
      </c>
      <c r="H97" s="23"/>
      <c r="I97" s="6"/>
      <c r="J97" s="6"/>
      <c r="K97" s="6"/>
      <c r="L97" s="6"/>
      <c r="M97" s="6"/>
      <c r="N97" s="6"/>
      <c r="O97" s="6"/>
      <c r="P97" s="6"/>
      <c r="Q97" s="6"/>
      <c r="R97" s="6"/>
      <c r="S97" s="6"/>
      <c r="T97" s="6"/>
      <c r="U97" s="6"/>
      <c r="V97" s="6"/>
      <c r="W97" s="6"/>
      <c r="X97" s="6"/>
    </row>
    <row r="98" spans="1:24" ht="93">
      <c r="A98" s="19"/>
      <c r="B98" s="19" t="s">
        <v>901</v>
      </c>
      <c r="C98" s="19" t="s">
        <v>95</v>
      </c>
      <c r="D98" s="19" t="s">
        <v>74</v>
      </c>
      <c r="E98" s="19" t="s">
        <v>902</v>
      </c>
      <c r="F98" s="19" t="s">
        <v>903</v>
      </c>
      <c r="G98" s="2" t="s">
        <v>90</v>
      </c>
      <c r="H98" s="23"/>
      <c r="I98" s="6"/>
      <c r="J98" s="6"/>
      <c r="K98" s="6"/>
      <c r="L98" s="6"/>
      <c r="M98" s="6"/>
      <c r="N98" s="6"/>
      <c r="O98" s="6"/>
      <c r="P98" s="6"/>
      <c r="Q98" s="6"/>
      <c r="R98" s="6"/>
      <c r="S98" s="6"/>
      <c r="T98" s="6"/>
      <c r="U98" s="6"/>
      <c r="V98" s="6"/>
      <c r="W98" s="6"/>
      <c r="X98" s="6"/>
    </row>
    <row r="99" spans="1:24" ht="66.599999999999994">
      <c r="A99" s="19"/>
      <c r="B99" s="19" t="s">
        <v>904</v>
      </c>
      <c r="C99" s="19" t="s">
        <v>95</v>
      </c>
      <c r="D99" s="19" t="s">
        <v>74</v>
      </c>
      <c r="E99" s="19" t="s">
        <v>905</v>
      </c>
      <c r="F99" s="19" t="s">
        <v>906</v>
      </c>
      <c r="G99" s="2" t="s">
        <v>93</v>
      </c>
      <c r="H99" s="23"/>
      <c r="I99" s="6"/>
      <c r="J99" s="6"/>
      <c r="K99" s="6"/>
      <c r="L99" s="6"/>
      <c r="M99" s="6"/>
      <c r="N99" s="6"/>
      <c r="O99" s="6"/>
      <c r="P99" s="6"/>
      <c r="Q99" s="6"/>
      <c r="R99" s="6"/>
      <c r="S99" s="6"/>
      <c r="T99" s="6"/>
      <c r="U99" s="6"/>
      <c r="V99" s="6"/>
      <c r="W99" s="6"/>
      <c r="X99" s="6"/>
    </row>
    <row r="100" spans="1:24" ht="119.45">
      <c r="A100" s="19"/>
      <c r="B100" s="19" t="s">
        <v>907</v>
      </c>
      <c r="C100" s="19" t="s">
        <v>81</v>
      </c>
      <c r="D100" s="19" t="s">
        <v>74</v>
      </c>
      <c r="E100" s="19" t="s">
        <v>908</v>
      </c>
      <c r="F100" s="19"/>
      <c r="G100" s="2" t="s">
        <v>93</v>
      </c>
      <c r="H100" s="23"/>
      <c r="I100" s="6"/>
      <c r="J100" s="6"/>
      <c r="K100" s="6"/>
      <c r="L100" s="6"/>
      <c r="M100" s="6"/>
      <c r="N100" s="6"/>
      <c r="O100" s="6"/>
      <c r="P100" s="6"/>
      <c r="Q100" s="6"/>
      <c r="R100" s="6"/>
      <c r="S100" s="6"/>
      <c r="T100" s="6"/>
      <c r="U100" s="6"/>
      <c r="V100" s="6"/>
      <c r="W100" s="6"/>
      <c r="X100" s="6"/>
    </row>
    <row r="101" spans="1:24" ht="53.45">
      <c r="A101" s="19"/>
      <c r="B101" s="19" t="s">
        <v>909</v>
      </c>
      <c r="C101" s="19" t="s">
        <v>81</v>
      </c>
      <c r="D101" s="19" t="s">
        <v>74</v>
      </c>
      <c r="E101" s="19" t="s">
        <v>910</v>
      </c>
      <c r="F101" s="19"/>
      <c r="G101" s="2" t="s">
        <v>85</v>
      </c>
      <c r="H101" s="23"/>
      <c r="I101" s="6"/>
      <c r="J101" s="6"/>
      <c r="K101" s="6"/>
      <c r="L101" s="6"/>
      <c r="M101" s="6"/>
      <c r="N101" s="6"/>
      <c r="O101" s="6"/>
      <c r="P101" s="6"/>
      <c r="Q101" s="6"/>
      <c r="R101" s="6"/>
      <c r="S101" s="6"/>
      <c r="T101" s="6"/>
      <c r="U101" s="6"/>
      <c r="V101" s="6"/>
      <c r="W101" s="6"/>
      <c r="X101" s="6"/>
    </row>
    <row r="102" spans="1:24" ht="40.15">
      <c r="A102" s="19"/>
      <c r="B102" s="19" t="s">
        <v>911</v>
      </c>
      <c r="C102" s="19" t="s">
        <v>95</v>
      </c>
      <c r="D102" s="19" t="s">
        <v>74</v>
      </c>
      <c r="E102" s="19"/>
      <c r="F102" s="19" t="s">
        <v>912</v>
      </c>
      <c r="G102" s="2" t="s">
        <v>93</v>
      </c>
      <c r="H102" s="23"/>
      <c r="I102" s="6"/>
      <c r="J102" s="6"/>
      <c r="K102" s="6"/>
      <c r="L102" s="6"/>
      <c r="M102" s="6"/>
      <c r="N102" s="6"/>
      <c r="O102" s="6"/>
      <c r="P102" s="6"/>
      <c r="Q102" s="6"/>
      <c r="R102" s="6"/>
      <c r="S102" s="6"/>
      <c r="T102" s="6"/>
      <c r="U102" s="6"/>
      <c r="V102" s="6"/>
      <c r="W102" s="6"/>
      <c r="X102" s="6"/>
    </row>
    <row r="103" spans="1:24" ht="40.15">
      <c r="A103" s="19"/>
      <c r="B103" s="19" t="s">
        <v>913</v>
      </c>
      <c r="C103" s="19" t="s">
        <v>95</v>
      </c>
      <c r="D103" s="19" t="s">
        <v>74</v>
      </c>
      <c r="E103" s="19" t="s">
        <v>914</v>
      </c>
      <c r="F103" s="19" t="s">
        <v>915</v>
      </c>
      <c r="G103" s="2" t="s">
        <v>85</v>
      </c>
      <c r="H103" s="23"/>
      <c r="I103" s="6"/>
      <c r="J103" s="6"/>
      <c r="K103" s="6"/>
      <c r="L103" s="6"/>
      <c r="M103" s="6"/>
      <c r="N103" s="6"/>
      <c r="O103" s="6"/>
      <c r="P103" s="6"/>
      <c r="Q103" s="6"/>
      <c r="R103" s="6"/>
      <c r="S103" s="6"/>
      <c r="T103" s="6"/>
      <c r="U103" s="6"/>
      <c r="V103" s="6"/>
      <c r="W103" s="6"/>
      <c r="X103" s="6"/>
    </row>
    <row r="104" spans="1:24" ht="53.45">
      <c r="A104" s="19"/>
      <c r="B104" s="19" t="s">
        <v>916</v>
      </c>
      <c r="C104" s="19" t="s">
        <v>95</v>
      </c>
      <c r="D104" s="19" t="s">
        <v>74</v>
      </c>
      <c r="E104" s="19" t="s">
        <v>917</v>
      </c>
      <c r="F104" s="19" t="s">
        <v>918</v>
      </c>
      <c r="G104" s="2" t="s">
        <v>93</v>
      </c>
      <c r="H104" s="23"/>
      <c r="I104" s="6"/>
      <c r="J104" s="6"/>
      <c r="K104" s="6"/>
      <c r="L104" s="6"/>
      <c r="M104" s="6"/>
      <c r="N104" s="6"/>
      <c r="O104" s="6"/>
      <c r="P104" s="6"/>
      <c r="Q104" s="6"/>
      <c r="R104" s="6"/>
      <c r="S104" s="6"/>
      <c r="T104" s="6"/>
      <c r="U104" s="6"/>
      <c r="V104" s="6"/>
      <c r="W104" s="6"/>
      <c r="X104" s="6"/>
    </row>
    <row r="105" spans="1:24" ht="53.45">
      <c r="A105" s="19"/>
      <c r="B105" s="19" t="s">
        <v>919</v>
      </c>
      <c r="C105" s="19" t="s">
        <v>81</v>
      </c>
      <c r="D105" s="19" t="s">
        <v>74</v>
      </c>
      <c r="E105" s="19" t="s">
        <v>920</v>
      </c>
      <c r="F105" s="19" t="s">
        <v>921</v>
      </c>
      <c r="G105" s="2" t="s">
        <v>90</v>
      </c>
      <c r="H105" s="23"/>
      <c r="I105" s="6"/>
      <c r="J105" s="6"/>
      <c r="K105" s="6"/>
      <c r="L105" s="6"/>
      <c r="M105" s="6"/>
      <c r="N105" s="6"/>
      <c r="O105" s="6"/>
      <c r="P105" s="6"/>
      <c r="Q105" s="6"/>
      <c r="R105" s="6"/>
      <c r="S105" s="6"/>
      <c r="T105" s="6"/>
      <c r="U105" s="6"/>
      <c r="V105" s="6"/>
      <c r="W105" s="6"/>
      <c r="X105" s="6"/>
    </row>
    <row r="106" spans="1:24" ht="53.45">
      <c r="A106" s="19"/>
      <c r="B106" s="19" t="s">
        <v>922</v>
      </c>
      <c r="C106" s="19" t="s">
        <v>81</v>
      </c>
      <c r="D106" s="19" t="s">
        <v>74</v>
      </c>
      <c r="E106" s="19" t="s">
        <v>923</v>
      </c>
      <c r="F106" s="19" t="s">
        <v>924</v>
      </c>
      <c r="G106" s="2" t="s">
        <v>93</v>
      </c>
      <c r="H106" s="23"/>
      <c r="I106" s="6"/>
      <c r="J106" s="6"/>
      <c r="K106" s="6"/>
      <c r="L106" s="6"/>
      <c r="M106" s="6"/>
      <c r="N106" s="6"/>
      <c r="O106" s="6"/>
      <c r="P106" s="6"/>
      <c r="Q106" s="6"/>
      <c r="R106" s="6"/>
      <c r="S106" s="6"/>
      <c r="T106" s="6"/>
      <c r="U106" s="6"/>
      <c r="V106" s="6"/>
      <c r="W106" s="6"/>
      <c r="X106" s="6"/>
    </row>
    <row r="107" spans="1:24" ht="53.45">
      <c r="A107" s="19"/>
      <c r="B107" s="19" t="s">
        <v>925</v>
      </c>
      <c r="C107" s="19" t="s">
        <v>95</v>
      </c>
      <c r="D107" s="19" t="s">
        <v>74</v>
      </c>
      <c r="E107" s="19" t="s">
        <v>926</v>
      </c>
      <c r="F107" s="19" t="s">
        <v>927</v>
      </c>
      <c r="G107" s="2" t="s">
        <v>90</v>
      </c>
      <c r="H107" s="23"/>
      <c r="I107" s="6"/>
      <c r="J107" s="6"/>
      <c r="K107" s="6"/>
      <c r="L107" s="6"/>
      <c r="M107" s="6"/>
      <c r="N107" s="6"/>
      <c r="O107" s="6"/>
      <c r="P107" s="6"/>
      <c r="Q107" s="6"/>
      <c r="R107" s="6"/>
      <c r="S107" s="6"/>
      <c r="T107" s="6"/>
      <c r="U107" s="6"/>
      <c r="V107" s="6"/>
      <c r="W107" s="6"/>
      <c r="X107" s="6"/>
    </row>
    <row r="108" spans="1:24" ht="66.599999999999994">
      <c r="A108" s="19"/>
      <c r="B108" s="19" t="s">
        <v>928</v>
      </c>
      <c r="C108" s="19" t="s">
        <v>95</v>
      </c>
      <c r="D108" s="19" t="s">
        <v>74</v>
      </c>
      <c r="E108" s="19" t="s">
        <v>929</v>
      </c>
      <c r="F108" s="19" t="s">
        <v>930</v>
      </c>
      <c r="G108" s="2" t="s">
        <v>85</v>
      </c>
      <c r="H108" s="23"/>
      <c r="I108" s="6"/>
      <c r="J108" s="6"/>
      <c r="K108" s="6"/>
      <c r="L108" s="6"/>
      <c r="M108" s="6"/>
      <c r="N108" s="6"/>
      <c r="O108" s="6"/>
      <c r="P108" s="6"/>
      <c r="Q108" s="6"/>
      <c r="R108" s="6"/>
      <c r="S108" s="6"/>
      <c r="T108" s="6"/>
      <c r="U108" s="6"/>
      <c r="V108" s="6"/>
      <c r="W108" s="6"/>
      <c r="X108" s="6"/>
    </row>
    <row r="109" spans="1:24" ht="66.599999999999994">
      <c r="A109" s="19"/>
      <c r="B109" s="19" t="s">
        <v>931</v>
      </c>
      <c r="C109" s="19" t="s">
        <v>95</v>
      </c>
      <c r="D109" s="19" t="s">
        <v>74</v>
      </c>
      <c r="E109" s="19" t="s">
        <v>932</v>
      </c>
      <c r="F109" s="19" t="s">
        <v>933</v>
      </c>
      <c r="G109" s="2" t="s">
        <v>93</v>
      </c>
      <c r="H109" s="23"/>
      <c r="I109" s="6"/>
      <c r="J109" s="6"/>
      <c r="K109" s="6"/>
      <c r="L109" s="6"/>
      <c r="M109" s="6"/>
      <c r="N109" s="6"/>
      <c r="O109" s="6"/>
      <c r="P109" s="6"/>
      <c r="Q109" s="6"/>
      <c r="R109" s="6"/>
      <c r="S109" s="6"/>
      <c r="T109" s="6"/>
      <c r="U109" s="6"/>
      <c r="V109" s="6"/>
      <c r="W109" s="6"/>
      <c r="X109" s="6"/>
    </row>
    <row r="110" spans="1:24" ht="40.15">
      <c r="A110" s="19"/>
      <c r="B110" s="19" t="s">
        <v>934</v>
      </c>
      <c r="C110" s="19" t="s">
        <v>95</v>
      </c>
      <c r="D110" s="19" t="s">
        <v>74</v>
      </c>
      <c r="E110" s="19" t="s">
        <v>935</v>
      </c>
      <c r="F110" s="19"/>
      <c r="G110" s="2" t="s">
        <v>85</v>
      </c>
      <c r="H110" s="23"/>
      <c r="I110" s="6"/>
      <c r="J110" s="6"/>
      <c r="K110" s="6"/>
      <c r="L110" s="6"/>
      <c r="M110" s="6"/>
      <c r="N110" s="6"/>
      <c r="O110" s="6"/>
      <c r="P110" s="6"/>
      <c r="Q110" s="6"/>
      <c r="R110" s="6"/>
      <c r="S110" s="6"/>
      <c r="T110" s="6"/>
      <c r="U110" s="6"/>
      <c r="V110" s="6"/>
      <c r="W110" s="6"/>
      <c r="X110" s="6"/>
    </row>
    <row r="111" spans="1:24" ht="93">
      <c r="A111" s="19"/>
      <c r="B111" s="19" t="s">
        <v>936</v>
      </c>
      <c r="C111" s="19" t="s">
        <v>95</v>
      </c>
      <c r="D111" s="19" t="s">
        <v>74</v>
      </c>
      <c r="E111" s="19" t="s">
        <v>937</v>
      </c>
      <c r="F111" s="19"/>
      <c r="G111" s="2" t="s">
        <v>85</v>
      </c>
      <c r="H111" s="23"/>
      <c r="I111" s="6"/>
      <c r="J111" s="6"/>
      <c r="K111" s="6"/>
      <c r="L111" s="6"/>
      <c r="M111" s="6"/>
      <c r="N111" s="6"/>
      <c r="O111" s="6"/>
      <c r="P111" s="6"/>
      <c r="Q111" s="6"/>
      <c r="R111" s="6"/>
      <c r="S111" s="6"/>
      <c r="T111" s="6"/>
      <c r="U111" s="6"/>
      <c r="V111" s="6"/>
      <c r="W111" s="6"/>
      <c r="X111" s="6"/>
    </row>
    <row r="112" spans="1:24" ht="53.45">
      <c r="A112" s="19"/>
      <c r="B112" s="19" t="s">
        <v>938</v>
      </c>
      <c r="C112" s="19" t="s">
        <v>95</v>
      </c>
      <c r="D112" s="19" t="s">
        <v>74</v>
      </c>
      <c r="E112" s="19" t="s">
        <v>939</v>
      </c>
      <c r="F112" s="19" t="s">
        <v>940</v>
      </c>
      <c r="G112" s="2" t="s">
        <v>85</v>
      </c>
      <c r="H112" s="23"/>
      <c r="I112" s="6"/>
      <c r="J112" s="6"/>
      <c r="K112" s="6"/>
      <c r="L112" s="6"/>
      <c r="M112" s="6"/>
      <c r="N112" s="6"/>
      <c r="O112" s="6"/>
      <c r="P112" s="6"/>
      <c r="Q112" s="6"/>
      <c r="R112" s="6"/>
      <c r="S112" s="6"/>
      <c r="T112" s="6"/>
      <c r="U112" s="6"/>
      <c r="V112" s="6"/>
      <c r="W112" s="6"/>
      <c r="X112" s="6"/>
    </row>
    <row r="113" spans="1:24" ht="53.45">
      <c r="A113" s="19"/>
      <c r="B113" s="19" t="s">
        <v>941</v>
      </c>
      <c r="C113" s="19" t="s">
        <v>81</v>
      </c>
      <c r="D113" s="19" t="s">
        <v>74</v>
      </c>
      <c r="E113" s="19"/>
      <c r="F113" s="19" t="s">
        <v>942</v>
      </c>
      <c r="G113" s="2" t="s">
        <v>90</v>
      </c>
      <c r="H113" s="23"/>
      <c r="I113" s="6"/>
      <c r="J113" s="6"/>
      <c r="K113" s="6"/>
      <c r="L113" s="6"/>
      <c r="M113" s="6"/>
      <c r="N113" s="6"/>
      <c r="O113" s="6"/>
      <c r="P113" s="6"/>
      <c r="Q113" s="6"/>
      <c r="R113" s="6"/>
      <c r="S113" s="6"/>
      <c r="T113" s="6"/>
      <c r="U113" s="6"/>
      <c r="V113" s="6"/>
      <c r="W113" s="6"/>
      <c r="X113" s="6"/>
    </row>
    <row r="114" spans="1:24" ht="79.900000000000006">
      <c r="A114" s="19"/>
      <c r="B114" s="19" t="s">
        <v>943</v>
      </c>
      <c r="C114" s="19" t="s">
        <v>81</v>
      </c>
      <c r="D114" s="19" t="s">
        <v>74</v>
      </c>
      <c r="E114" s="19" t="s">
        <v>944</v>
      </c>
      <c r="F114" s="19" t="s">
        <v>945</v>
      </c>
      <c r="G114" s="2" t="s">
        <v>90</v>
      </c>
      <c r="H114" s="23"/>
      <c r="I114" s="6"/>
      <c r="J114" s="6"/>
      <c r="K114" s="6"/>
      <c r="L114" s="6"/>
      <c r="M114" s="6"/>
      <c r="N114" s="6"/>
      <c r="O114" s="6"/>
      <c r="P114" s="6"/>
      <c r="Q114" s="6"/>
      <c r="R114" s="6"/>
      <c r="S114" s="6"/>
      <c r="T114" s="6"/>
      <c r="U114" s="6"/>
      <c r="V114" s="6"/>
      <c r="W114" s="6"/>
      <c r="X114" s="6"/>
    </row>
    <row r="115" spans="1:24" ht="53.45">
      <c r="A115" s="19"/>
      <c r="B115" s="19" t="s">
        <v>946</v>
      </c>
      <c r="C115" s="19" t="s">
        <v>95</v>
      </c>
      <c r="D115" s="19" t="s">
        <v>74</v>
      </c>
      <c r="E115" s="19" t="s">
        <v>947</v>
      </c>
      <c r="F115" s="19" t="s">
        <v>948</v>
      </c>
      <c r="G115" s="2" t="s">
        <v>93</v>
      </c>
      <c r="H115" s="23"/>
      <c r="I115" s="6"/>
      <c r="J115" s="6"/>
      <c r="K115" s="6"/>
      <c r="L115" s="6"/>
      <c r="M115" s="6"/>
      <c r="N115" s="6"/>
      <c r="O115" s="6"/>
      <c r="P115" s="6"/>
      <c r="Q115" s="6"/>
      <c r="R115" s="6"/>
      <c r="S115" s="6"/>
      <c r="T115" s="6"/>
      <c r="U115" s="6"/>
      <c r="V115" s="6"/>
      <c r="W115" s="6"/>
      <c r="X115" s="6"/>
    </row>
    <row r="116" spans="1:24" ht="93">
      <c r="A116" s="19"/>
      <c r="B116" s="19" t="s">
        <v>949</v>
      </c>
      <c r="C116" s="19" t="s">
        <v>81</v>
      </c>
      <c r="D116" s="19" t="s">
        <v>74</v>
      </c>
      <c r="E116" s="19" t="s">
        <v>950</v>
      </c>
      <c r="F116" s="19" t="s">
        <v>951</v>
      </c>
      <c r="G116" s="2" t="s">
        <v>90</v>
      </c>
      <c r="H116" s="23"/>
      <c r="I116" s="6"/>
      <c r="J116" s="6"/>
      <c r="K116" s="6"/>
      <c r="L116" s="6"/>
      <c r="M116" s="6"/>
      <c r="N116" s="6"/>
      <c r="O116" s="6"/>
      <c r="P116" s="6"/>
      <c r="Q116" s="6"/>
      <c r="R116" s="6"/>
      <c r="S116" s="6"/>
      <c r="T116" s="6"/>
      <c r="U116" s="6"/>
      <c r="V116" s="6"/>
      <c r="W116" s="6"/>
      <c r="X116" s="6"/>
    </row>
    <row r="117" spans="1:24" ht="27">
      <c r="A117" s="19"/>
      <c r="B117" s="19" t="s">
        <v>952</v>
      </c>
      <c r="C117" s="19" t="s">
        <v>81</v>
      </c>
      <c r="D117" s="19" t="s">
        <v>74</v>
      </c>
      <c r="E117" s="19" t="s">
        <v>953</v>
      </c>
      <c r="F117" s="19" t="s">
        <v>954</v>
      </c>
      <c r="G117" s="2" t="s">
        <v>90</v>
      </c>
      <c r="H117" s="23"/>
      <c r="I117" s="6"/>
      <c r="J117" s="6"/>
      <c r="K117" s="6"/>
      <c r="L117" s="6"/>
      <c r="M117" s="6"/>
      <c r="N117" s="6"/>
      <c r="O117" s="6"/>
      <c r="P117" s="6"/>
      <c r="Q117" s="6"/>
      <c r="R117" s="6"/>
      <c r="S117" s="6"/>
      <c r="T117" s="6"/>
      <c r="U117" s="6"/>
      <c r="V117" s="6"/>
      <c r="W117" s="6"/>
      <c r="X117" s="6"/>
    </row>
    <row r="118" spans="1:24" ht="53.45">
      <c r="A118" s="19"/>
      <c r="B118" s="19" t="s">
        <v>955</v>
      </c>
      <c r="C118" s="19" t="s">
        <v>81</v>
      </c>
      <c r="D118" s="19" t="s">
        <v>74</v>
      </c>
      <c r="E118" s="19" t="s">
        <v>956</v>
      </c>
      <c r="F118" s="19" t="s">
        <v>954</v>
      </c>
      <c r="G118" s="2" t="s">
        <v>90</v>
      </c>
      <c r="H118" s="23"/>
      <c r="I118" s="6"/>
      <c r="J118" s="6"/>
      <c r="K118" s="6"/>
      <c r="L118" s="6"/>
      <c r="M118" s="6"/>
      <c r="N118" s="6"/>
      <c r="O118" s="6"/>
      <c r="P118" s="6"/>
      <c r="Q118" s="6"/>
      <c r="R118" s="6"/>
      <c r="S118" s="6"/>
      <c r="T118" s="6"/>
      <c r="U118" s="6"/>
      <c r="V118" s="6"/>
      <c r="W118" s="6"/>
      <c r="X118" s="6"/>
    </row>
    <row r="119" spans="1:24" ht="27">
      <c r="A119" s="19"/>
      <c r="B119" s="19" t="s">
        <v>957</v>
      </c>
      <c r="C119" s="19" t="s">
        <v>81</v>
      </c>
      <c r="D119" s="19" t="s">
        <v>74</v>
      </c>
      <c r="E119" s="19"/>
      <c r="F119" s="19" t="s">
        <v>958</v>
      </c>
      <c r="G119" s="2" t="s">
        <v>90</v>
      </c>
      <c r="H119" s="23"/>
      <c r="I119" s="6"/>
      <c r="J119" s="6"/>
      <c r="K119" s="6"/>
      <c r="L119" s="6"/>
      <c r="M119" s="6"/>
      <c r="N119" s="6"/>
      <c r="O119" s="6"/>
      <c r="P119" s="6"/>
      <c r="Q119" s="6"/>
      <c r="R119" s="6"/>
      <c r="S119" s="6"/>
      <c r="T119" s="6"/>
      <c r="U119" s="6"/>
      <c r="V119" s="6"/>
      <c r="W119" s="6"/>
      <c r="X119" s="6"/>
    </row>
    <row r="120" spans="1:24" ht="106.15">
      <c r="A120" s="19"/>
      <c r="B120" s="19" t="s">
        <v>959</v>
      </c>
      <c r="C120" s="19" t="s">
        <v>95</v>
      </c>
      <c r="D120" s="19" t="s">
        <v>74</v>
      </c>
      <c r="E120" s="19" t="s">
        <v>960</v>
      </c>
      <c r="F120" s="19" t="s">
        <v>961</v>
      </c>
      <c r="G120" s="2" t="s">
        <v>85</v>
      </c>
      <c r="H120" s="23"/>
      <c r="I120" s="6"/>
      <c r="J120" s="6"/>
      <c r="K120" s="6"/>
      <c r="L120" s="6"/>
      <c r="M120" s="6"/>
      <c r="N120" s="6"/>
      <c r="O120" s="6"/>
      <c r="P120" s="6"/>
      <c r="Q120" s="6"/>
      <c r="R120" s="6"/>
      <c r="S120" s="6"/>
      <c r="T120" s="6"/>
      <c r="U120" s="6"/>
      <c r="V120" s="6"/>
      <c r="W120" s="6"/>
      <c r="X120" s="6"/>
    </row>
    <row r="121" spans="1:24" ht="40.15">
      <c r="A121" s="19"/>
      <c r="B121" s="19" t="s">
        <v>962</v>
      </c>
      <c r="C121" s="19" t="s">
        <v>95</v>
      </c>
      <c r="D121" s="19" t="s">
        <v>74</v>
      </c>
      <c r="E121" s="19" t="s">
        <v>963</v>
      </c>
      <c r="F121" s="19"/>
      <c r="G121" s="2" t="s">
        <v>93</v>
      </c>
      <c r="H121" s="23"/>
      <c r="I121" s="6"/>
      <c r="J121" s="6"/>
      <c r="K121" s="6"/>
      <c r="L121" s="6"/>
      <c r="M121" s="6"/>
      <c r="N121" s="6"/>
      <c r="O121" s="6"/>
      <c r="P121" s="6"/>
      <c r="Q121" s="6"/>
      <c r="R121" s="6"/>
      <c r="S121" s="6"/>
      <c r="T121" s="6"/>
      <c r="U121" s="6"/>
      <c r="V121" s="6"/>
      <c r="W121" s="6"/>
      <c r="X121" s="6"/>
    </row>
    <row r="122" spans="1:24" ht="40.15">
      <c r="A122" s="19"/>
      <c r="B122" s="19"/>
      <c r="C122" s="19" t="s">
        <v>81</v>
      </c>
      <c r="D122" s="19" t="s">
        <v>74</v>
      </c>
      <c r="E122" s="19"/>
      <c r="F122" s="19" t="s">
        <v>964</v>
      </c>
      <c r="G122" s="2" t="s">
        <v>93</v>
      </c>
      <c r="H122" s="23"/>
      <c r="I122" s="6"/>
      <c r="J122" s="6"/>
      <c r="K122" s="6"/>
      <c r="L122" s="6"/>
      <c r="M122" s="6"/>
      <c r="N122" s="6"/>
      <c r="O122" s="6"/>
      <c r="P122" s="6"/>
      <c r="Q122" s="6"/>
      <c r="R122" s="6"/>
      <c r="S122" s="6"/>
      <c r="T122" s="6"/>
      <c r="U122" s="6"/>
      <c r="V122" s="6"/>
      <c r="W122" s="6"/>
      <c r="X122" s="6"/>
    </row>
    <row r="123" spans="1:24" ht="66.599999999999994">
      <c r="A123" s="19"/>
      <c r="B123" s="19" t="s">
        <v>965</v>
      </c>
      <c r="C123" s="19" t="s">
        <v>95</v>
      </c>
      <c r="D123" s="19" t="s">
        <v>74</v>
      </c>
      <c r="E123" s="19" t="s">
        <v>966</v>
      </c>
      <c r="F123" s="19" t="s">
        <v>967</v>
      </c>
      <c r="G123" s="2" t="s">
        <v>77</v>
      </c>
      <c r="H123" s="23"/>
      <c r="I123" s="6"/>
      <c r="J123" s="6"/>
      <c r="K123" s="6"/>
      <c r="L123" s="6"/>
      <c r="M123" s="6"/>
      <c r="N123" s="6"/>
      <c r="O123" s="6"/>
      <c r="P123" s="6"/>
      <c r="Q123" s="6"/>
      <c r="R123" s="6"/>
      <c r="S123" s="6"/>
      <c r="T123" s="6"/>
      <c r="U123" s="6"/>
      <c r="V123" s="6"/>
      <c r="W123" s="6"/>
      <c r="X123" s="6"/>
    </row>
    <row r="124" spans="1:24" ht="27">
      <c r="A124" s="19"/>
      <c r="B124" s="19" t="s">
        <v>968</v>
      </c>
      <c r="C124" s="19" t="s">
        <v>95</v>
      </c>
      <c r="D124" s="19" t="s">
        <v>74</v>
      </c>
      <c r="E124" s="19" t="s">
        <v>969</v>
      </c>
      <c r="F124" s="19" t="s">
        <v>970</v>
      </c>
      <c r="G124" s="2" t="s">
        <v>90</v>
      </c>
      <c r="H124" s="23"/>
      <c r="I124" s="6"/>
      <c r="J124" s="6"/>
      <c r="K124" s="6"/>
      <c r="L124" s="6"/>
      <c r="M124" s="6"/>
      <c r="N124" s="6"/>
      <c r="O124" s="6"/>
      <c r="P124" s="6"/>
      <c r="Q124" s="6"/>
      <c r="R124" s="6"/>
      <c r="S124" s="6"/>
      <c r="T124" s="6"/>
      <c r="U124" s="6"/>
      <c r="V124" s="6"/>
      <c r="W124" s="6"/>
      <c r="X124" s="6"/>
    </row>
    <row r="125" spans="1:24" ht="53.45">
      <c r="A125" s="19"/>
      <c r="B125" s="19" t="s">
        <v>971</v>
      </c>
      <c r="C125" s="19" t="s">
        <v>95</v>
      </c>
      <c r="D125" s="19" t="s">
        <v>74</v>
      </c>
      <c r="E125" s="19" t="s">
        <v>972</v>
      </c>
      <c r="F125" s="19"/>
      <c r="G125" s="2" t="s">
        <v>93</v>
      </c>
      <c r="H125" s="23"/>
      <c r="I125" s="6"/>
      <c r="J125" s="6"/>
      <c r="K125" s="6"/>
      <c r="L125" s="6"/>
      <c r="M125" s="6"/>
      <c r="N125" s="6"/>
      <c r="O125" s="6"/>
      <c r="P125" s="6"/>
      <c r="Q125" s="6"/>
      <c r="R125" s="6"/>
      <c r="S125" s="6"/>
      <c r="T125" s="6"/>
      <c r="U125" s="6"/>
      <c r="V125" s="6"/>
      <c r="W125" s="6"/>
      <c r="X125" s="6"/>
    </row>
    <row r="126" spans="1:24" ht="53.45">
      <c r="A126" s="19"/>
      <c r="B126" s="19" t="s">
        <v>973</v>
      </c>
      <c r="C126" s="19" t="s">
        <v>95</v>
      </c>
      <c r="D126" s="19" t="s">
        <v>74</v>
      </c>
      <c r="E126" s="19" t="s">
        <v>974</v>
      </c>
      <c r="F126" s="19" t="s">
        <v>975</v>
      </c>
      <c r="G126" s="2" t="s">
        <v>93</v>
      </c>
      <c r="H126" s="23"/>
      <c r="I126" s="6"/>
      <c r="J126" s="6"/>
      <c r="K126" s="6"/>
      <c r="L126" s="6"/>
      <c r="M126" s="6"/>
      <c r="N126" s="6"/>
      <c r="O126" s="6"/>
      <c r="P126" s="6"/>
      <c r="Q126" s="6"/>
      <c r="R126" s="6"/>
      <c r="S126" s="6"/>
      <c r="T126" s="6"/>
      <c r="U126" s="6"/>
      <c r="V126" s="6"/>
      <c r="W126" s="6"/>
      <c r="X126" s="6"/>
    </row>
    <row r="127" spans="1:24" ht="40.15">
      <c r="A127" s="19"/>
      <c r="B127" s="19" t="s">
        <v>976</v>
      </c>
      <c r="C127" s="19" t="s">
        <v>95</v>
      </c>
      <c r="D127" s="19" t="s">
        <v>74</v>
      </c>
      <c r="E127" s="19" t="s">
        <v>977</v>
      </c>
      <c r="F127" s="19" t="s">
        <v>978</v>
      </c>
      <c r="G127" s="2" t="s">
        <v>93</v>
      </c>
      <c r="H127" s="23"/>
      <c r="I127" s="6"/>
      <c r="J127" s="6"/>
      <c r="K127" s="6"/>
      <c r="L127" s="6"/>
      <c r="M127" s="6"/>
      <c r="N127" s="6"/>
      <c r="O127" s="6"/>
      <c r="P127" s="6"/>
      <c r="Q127" s="6"/>
      <c r="R127" s="6"/>
      <c r="S127" s="6"/>
      <c r="T127" s="6"/>
      <c r="U127" s="6"/>
      <c r="V127" s="6"/>
      <c r="W127" s="6"/>
      <c r="X127" s="6"/>
    </row>
    <row r="128" spans="1:24" ht="53.45">
      <c r="A128" s="19"/>
      <c r="B128" s="19" t="s">
        <v>979</v>
      </c>
      <c r="C128" s="19" t="s">
        <v>95</v>
      </c>
      <c r="D128" s="19" t="s">
        <v>74</v>
      </c>
      <c r="E128" s="19" t="s">
        <v>980</v>
      </c>
      <c r="F128" s="19" t="s">
        <v>981</v>
      </c>
      <c r="G128" s="2" t="s">
        <v>85</v>
      </c>
      <c r="H128" s="23"/>
      <c r="I128" s="6"/>
      <c r="J128" s="6"/>
      <c r="K128" s="6"/>
      <c r="L128" s="6"/>
      <c r="M128" s="6"/>
      <c r="N128" s="6"/>
      <c r="O128" s="6"/>
      <c r="P128" s="6"/>
      <c r="Q128" s="6"/>
      <c r="R128" s="6"/>
      <c r="S128" s="6"/>
      <c r="T128" s="6"/>
      <c r="U128" s="6"/>
      <c r="V128" s="6"/>
      <c r="W128" s="6"/>
      <c r="X128" s="6"/>
    </row>
    <row r="129" spans="1:24" ht="27">
      <c r="A129" s="19"/>
      <c r="B129" s="19" t="s">
        <v>982</v>
      </c>
      <c r="C129" s="19" t="s">
        <v>95</v>
      </c>
      <c r="D129" s="19" t="s">
        <v>74</v>
      </c>
      <c r="E129" s="19"/>
      <c r="F129" s="19" t="s">
        <v>983</v>
      </c>
      <c r="G129" s="2" t="s">
        <v>93</v>
      </c>
      <c r="H129" s="23"/>
      <c r="I129" s="6"/>
      <c r="J129" s="6"/>
      <c r="K129" s="6"/>
      <c r="L129" s="6"/>
      <c r="M129" s="6"/>
      <c r="N129" s="6"/>
      <c r="O129" s="6"/>
      <c r="P129" s="6"/>
      <c r="Q129" s="6"/>
      <c r="R129" s="6"/>
      <c r="S129" s="6"/>
      <c r="T129" s="6"/>
      <c r="U129" s="6"/>
      <c r="V129" s="6"/>
      <c r="W129" s="6"/>
      <c r="X129" s="6"/>
    </row>
    <row r="130" spans="1:24" ht="40.15">
      <c r="A130" s="19"/>
      <c r="B130" s="19" t="s">
        <v>984</v>
      </c>
      <c r="C130" s="19" t="s">
        <v>95</v>
      </c>
      <c r="D130" s="19" t="s">
        <v>74</v>
      </c>
      <c r="E130" s="19" t="s">
        <v>985</v>
      </c>
      <c r="F130" s="19" t="s">
        <v>986</v>
      </c>
      <c r="G130" s="2" t="s">
        <v>85</v>
      </c>
      <c r="H130" s="23"/>
      <c r="I130" s="6"/>
      <c r="J130" s="6"/>
      <c r="K130" s="6"/>
      <c r="L130" s="6"/>
      <c r="M130" s="6"/>
      <c r="N130" s="6"/>
      <c r="O130" s="6"/>
      <c r="P130" s="6"/>
      <c r="Q130" s="6"/>
      <c r="R130" s="6"/>
      <c r="S130" s="6"/>
      <c r="T130" s="6"/>
      <c r="U130" s="6"/>
      <c r="V130" s="6"/>
      <c r="W130" s="6"/>
      <c r="X130" s="6"/>
    </row>
    <row r="131" spans="1:24" ht="172.15">
      <c r="A131" s="19"/>
      <c r="B131" s="19" t="s">
        <v>987</v>
      </c>
      <c r="C131" s="19" t="s">
        <v>95</v>
      </c>
      <c r="D131" s="19" t="s">
        <v>74</v>
      </c>
      <c r="E131" s="19" t="s">
        <v>988</v>
      </c>
      <c r="F131" s="19" t="s">
        <v>989</v>
      </c>
      <c r="G131" s="2" t="s">
        <v>93</v>
      </c>
      <c r="H131" s="23"/>
      <c r="I131" s="6"/>
      <c r="J131" s="6"/>
      <c r="K131" s="6"/>
      <c r="L131" s="6"/>
      <c r="M131" s="6"/>
      <c r="N131" s="6"/>
      <c r="O131" s="6"/>
      <c r="P131" s="6"/>
      <c r="Q131" s="6"/>
      <c r="R131" s="6"/>
      <c r="S131" s="6"/>
      <c r="T131" s="6"/>
      <c r="U131" s="6"/>
      <c r="V131" s="6"/>
      <c r="W131" s="6"/>
      <c r="X131" s="6"/>
    </row>
    <row r="132" spans="1:24" ht="66.599999999999994">
      <c r="A132" s="19"/>
      <c r="B132" s="19" t="s">
        <v>990</v>
      </c>
      <c r="C132" s="19" t="s">
        <v>95</v>
      </c>
      <c r="D132" s="19" t="s">
        <v>74</v>
      </c>
      <c r="E132" s="19" t="s">
        <v>991</v>
      </c>
      <c r="F132" s="19"/>
      <c r="G132" s="2" t="s">
        <v>90</v>
      </c>
      <c r="H132" s="23"/>
      <c r="I132" s="6"/>
      <c r="J132" s="6"/>
      <c r="K132" s="6"/>
      <c r="L132" s="6"/>
      <c r="M132" s="6"/>
      <c r="N132" s="6"/>
      <c r="O132" s="6"/>
      <c r="P132" s="6"/>
      <c r="Q132" s="6"/>
      <c r="R132" s="6"/>
      <c r="S132" s="6"/>
      <c r="T132" s="6"/>
      <c r="U132" s="6"/>
      <c r="V132" s="6"/>
      <c r="W132" s="6"/>
      <c r="X132" s="6"/>
    </row>
    <row r="133" spans="1:24" ht="79.900000000000006">
      <c r="A133" s="19"/>
      <c r="B133" s="19" t="s">
        <v>992</v>
      </c>
      <c r="C133" s="19" t="s">
        <v>95</v>
      </c>
      <c r="D133" s="19" t="s">
        <v>74</v>
      </c>
      <c r="E133" s="19"/>
      <c r="F133" s="19" t="s">
        <v>993</v>
      </c>
      <c r="G133" s="2" t="s">
        <v>90</v>
      </c>
      <c r="H133" s="23"/>
      <c r="I133" s="6"/>
      <c r="J133" s="6"/>
      <c r="K133" s="6"/>
      <c r="L133" s="6"/>
      <c r="M133" s="6"/>
      <c r="N133" s="6"/>
      <c r="O133" s="6"/>
      <c r="P133" s="6"/>
      <c r="Q133" s="6"/>
      <c r="R133" s="6"/>
      <c r="S133" s="6"/>
      <c r="T133" s="6"/>
      <c r="U133" s="6"/>
      <c r="V133" s="6"/>
      <c r="W133" s="6"/>
      <c r="X133" s="6"/>
    </row>
    <row r="134" spans="1:24" ht="53.45">
      <c r="A134" s="19"/>
      <c r="B134" s="19" t="s">
        <v>994</v>
      </c>
      <c r="C134" s="19" t="s">
        <v>95</v>
      </c>
      <c r="D134" s="19" t="s">
        <v>74</v>
      </c>
      <c r="E134" s="19" t="s">
        <v>995</v>
      </c>
      <c r="F134" s="19" t="s">
        <v>996</v>
      </c>
      <c r="G134" s="2" t="s">
        <v>93</v>
      </c>
      <c r="H134" s="23"/>
      <c r="I134" s="6"/>
      <c r="J134" s="6"/>
      <c r="K134" s="6"/>
      <c r="L134" s="6"/>
      <c r="M134" s="6"/>
      <c r="N134" s="6"/>
      <c r="O134" s="6"/>
      <c r="P134" s="6"/>
      <c r="Q134" s="6"/>
      <c r="R134" s="6"/>
      <c r="S134" s="6"/>
      <c r="T134" s="6"/>
      <c r="U134" s="6"/>
      <c r="V134" s="6"/>
      <c r="W134" s="6"/>
      <c r="X134" s="6"/>
    </row>
    <row r="135" spans="1:24" ht="27">
      <c r="A135" s="19"/>
      <c r="B135" s="19" t="s">
        <v>997</v>
      </c>
      <c r="C135" s="19" t="s">
        <v>95</v>
      </c>
      <c r="D135" s="19" t="s">
        <v>74</v>
      </c>
      <c r="E135" s="19" t="s">
        <v>998</v>
      </c>
      <c r="F135" s="19" t="s">
        <v>999</v>
      </c>
      <c r="G135" s="2" t="s">
        <v>93</v>
      </c>
      <c r="H135" s="23"/>
      <c r="I135" s="6"/>
      <c r="J135" s="6"/>
      <c r="K135" s="6"/>
      <c r="L135" s="6"/>
      <c r="M135" s="6"/>
      <c r="N135" s="6"/>
      <c r="O135" s="6"/>
      <c r="P135" s="6"/>
      <c r="Q135" s="6"/>
      <c r="R135" s="6"/>
      <c r="S135" s="6"/>
      <c r="T135" s="6"/>
      <c r="U135" s="6"/>
      <c r="V135" s="6"/>
      <c r="W135" s="6"/>
      <c r="X135" s="6"/>
    </row>
    <row r="136" spans="1:24" ht="40.15">
      <c r="A136" s="19"/>
      <c r="B136" s="19" t="s">
        <v>1000</v>
      </c>
      <c r="C136" s="19" t="s">
        <v>95</v>
      </c>
      <c r="D136" s="19" t="s">
        <v>74</v>
      </c>
      <c r="E136" s="19" t="s">
        <v>998</v>
      </c>
      <c r="F136" s="19" t="s">
        <v>1001</v>
      </c>
      <c r="G136" s="2" t="s">
        <v>93</v>
      </c>
      <c r="H136" s="23"/>
      <c r="I136" s="6"/>
      <c r="J136" s="6"/>
      <c r="K136" s="6"/>
      <c r="L136" s="6"/>
      <c r="M136" s="6"/>
      <c r="N136" s="6"/>
      <c r="O136" s="6"/>
      <c r="P136" s="6"/>
      <c r="Q136" s="6"/>
      <c r="R136" s="6"/>
      <c r="S136" s="6"/>
      <c r="T136" s="6"/>
      <c r="U136" s="6"/>
      <c r="V136" s="6"/>
      <c r="W136" s="6"/>
      <c r="X136" s="6"/>
    </row>
    <row r="137" spans="1:24" ht="79.900000000000006">
      <c r="A137" s="19"/>
      <c r="B137" s="19" t="s">
        <v>1002</v>
      </c>
      <c r="C137" s="19" t="s">
        <v>95</v>
      </c>
      <c r="D137" s="19" t="s">
        <v>74</v>
      </c>
      <c r="E137" s="19" t="s">
        <v>1003</v>
      </c>
      <c r="F137" s="19" t="s">
        <v>1004</v>
      </c>
      <c r="G137" s="2" t="s">
        <v>77</v>
      </c>
      <c r="H137" s="23"/>
      <c r="I137" s="6"/>
      <c r="J137" s="6"/>
      <c r="K137" s="6"/>
      <c r="L137" s="6"/>
      <c r="M137" s="6"/>
      <c r="N137" s="6"/>
      <c r="O137" s="6"/>
      <c r="P137" s="6"/>
      <c r="Q137" s="6"/>
      <c r="R137" s="6"/>
      <c r="S137" s="6"/>
      <c r="T137" s="6"/>
      <c r="U137" s="6"/>
      <c r="V137" s="6"/>
      <c r="W137" s="6"/>
      <c r="X137" s="6"/>
    </row>
    <row r="138" spans="1:24" ht="40.15">
      <c r="A138" s="19"/>
      <c r="B138" s="19" t="s">
        <v>1005</v>
      </c>
      <c r="C138" s="19" t="s">
        <v>95</v>
      </c>
      <c r="D138" s="19" t="s">
        <v>74</v>
      </c>
      <c r="E138" s="19" t="s">
        <v>1006</v>
      </c>
      <c r="F138" s="19"/>
      <c r="G138" s="2" t="s">
        <v>93</v>
      </c>
      <c r="H138" s="23"/>
      <c r="I138" s="6"/>
      <c r="J138" s="6"/>
      <c r="K138" s="6"/>
      <c r="L138" s="6"/>
      <c r="M138" s="6"/>
      <c r="N138" s="6"/>
      <c r="O138" s="6"/>
      <c r="P138" s="6"/>
      <c r="Q138" s="6"/>
      <c r="R138" s="6"/>
      <c r="S138" s="6"/>
      <c r="T138" s="6"/>
      <c r="U138" s="6"/>
      <c r="V138" s="6"/>
      <c r="W138" s="6"/>
      <c r="X138" s="6"/>
    </row>
    <row r="139" spans="1:24" ht="66.599999999999994">
      <c r="A139" s="19"/>
      <c r="B139" s="19" t="s">
        <v>1007</v>
      </c>
      <c r="C139" s="19" t="s">
        <v>95</v>
      </c>
      <c r="D139" s="19" t="s">
        <v>74</v>
      </c>
      <c r="E139" s="19"/>
      <c r="F139" s="19" t="s">
        <v>1008</v>
      </c>
      <c r="G139" s="2" t="s">
        <v>93</v>
      </c>
      <c r="H139" s="23"/>
      <c r="I139" s="6"/>
      <c r="J139" s="6"/>
      <c r="K139" s="6"/>
      <c r="L139" s="6"/>
      <c r="M139" s="6"/>
      <c r="N139" s="6"/>
      <c r="O139" s="6"/>
      <c r="P139" s="6"/>
      <c r="Q139" s="6"/>
      <c r="R139" s="6"/>
      <c r="S139" s="6"/>
      <c r="T139" s="6"/>
      <c r="U139" s="6"/>
      <c r="V139" s="6"/>
      <c r="W139" s="6"/>
      <c r="X139" s="6"/>
    </row>
    <row r="140" spans="1:24" ht="93">
      <c r="A140" s="19"/>
      <c r="B140" s="19" t="s">
        <v>1009</v>
      </c>
      <c r="C140" s="19" t="s">
        <v>95</v>
      </c>
      <c r="D140" s="19" t="s">
        <v>74</v>
      </c>
      <c r="E140" s="19" t="s">
        <v>1010</v>
      </c>
      <c r="F140" s="19" t="s">
        <v>1011</v>
      </c>
      <c r="G140" s="2" t="s">
        <v>93</v>
      </c>
      <c r="H140" s="23"/>
      <c r="I140" s="6"/>
      <c r="J140" s="6"/>
      <c r="K140" s="6"/>
      <c r="L140" s="6"/>
      <c r="M140" s="6"/>
      <c r="N140" s="6"/>
      <c r="O140" s="6"/>
      <c r="P140" s="6"/>
      <c r="Q140" s="6"/>
      <c r="R140" s="6"/>
      <c r="S140" s="6"/>
      <c r="T140" s="6"/>
      <c r="U140" s="6"/>
      <c r="V140" s="6"/>
      <c r="W140" s="6"/>
      <c r="X140" s="6"/>
    </row>
    <row r="141" spans="1:24" ht="172.15">
      <c r="A141" s="19"/>
      <c r="B141" s="19" t="s">
        <v>1012</v>
      </c>
      <c r="C141" s="19" t="s">
        <v>95</v>
      </c>
      <c r="D141" s="19" t="s">
        <v>74</v>
      </c>
      <c r="E141" s="19" t="s">
        <v>1013</v>
      </c>
      <c r="F141" s="19" t="s">
        <v>1014</v>
      </c>
      <c r="G141" s="2" t="s">
        <v>90</v>
      </c>
      <c r="H141" s="23"/>
      <c r="I141" s="6"/>
      <c r="J141" s="6"/>
      <c r="K141" s="6"/>
      <c r="L141" s="6"/>
      <c r="M141" s="6"/>
      <c r="N141" s="6"/>
      <c r="O141" s="6"/>
      <c r="P141" s="6"/>
      <c r="Q141" s="6"/>
      <c r="R141" s="6"/>
      <c r="S141" s="6"/>
      <c r="T141" s="6"/>
      <c r="U141" s="6"/>
      <c r="V141" s="6"/>
      <c r="W141" s="6"/>
      <c r="X141" s="6"/>
    </row>
    <row r="142" spans="1:24" ht="93">
      <c r="A142" s="19"/>
      <c r="B142" s="19" t="s">
        <v>1015</v>
      </c>
      <c r="C142" s="19" t="s">
        <v>95</v>
      </c>
      <c r="D142" s="19" t="s">
        <v>74</v>
      </c>
      <c r="E142" s="19" t="s">
        <v>1016</v>
      </c>
      <c r="F142" s="19"/>
      <c r="G142" s="2" t="s">
        <v>77</v>
      </c>
      <c r="H142" s="23"/>
      <c r="I142" s="6"/>
      <c r="J142" s="6"/>
      <c r="K142" s="6"/>
      <c r="L142" s="6"/>
      <c r="M142" s="6"/>
      <c r="N142" s="6"/>
      <c r="O142" s="6"/>
      <c r="P142" s="6"/>
      <c r="Q142" s="6"/>
      <c r="R142" s="6"/>
      <c r="S142" s="6"/>
      <c r="T142" s="6"/>
      <c r="U142" s="6"/>
      <c r="V142" s="6"/>
      <c r="W142" s="6"/>
      <c r="X142" s="6"/>
    </row>
    <row r="143" spans="1:24" ht="40.15">
      <c r="A143" s="19"/>
      <c r="B143" s="19" t="s">
        <v>1017</v>
      </c>
      <c r="C143" s="19" t="s">
        <v>95</v>
      </c>
      <c r="D143" s="19" t="s">
        <v>74</v>
      </c>
      <c r="E143" s="19"/>
      <c r="F143" s="19" t="s">
        <v>1018</v>
      </c>
      <c r="G143" s="2" t="s">
        <v>93</v>
      </c>
      <c r="H143" s="23"/>
      <c r="I143" s="6"/>
      <c r="J143" s="6"/>
      <c r="K143" s="6"/>
      <c r="L143" s="6"/>
      <c r="M143" s="6"/>
      <c r="N143" s="6"/>
      <c r="O143" s="6"/>
      <c r="P143" s="6"/>
      <c r="Q143" s="6"/>
      <c r="R143" s="6"/>
      <c r="S143" s="6"/>
      <c r="T143" s="6"/>
      <c r="U143" s="6"/>
      <c r="V143" s="6"/>
      <c r="W143" s="6"/>
      <c r="X143" s="6"/>
    </row>
    <row r="144" spans="1:24" ht="40.15">
      <c r="A144" s="19"/>
      <c r="B144" s="19" t="s">
        <v>1019</v>
      </c>
      <c r="C144" s="19" t="s">
        <v>95</v>
      </c>
      <c r="D144" s="19" t="s">
        <v>74</v>
      </c>
      <c r="E144" s="19" t="s">
        <v>1020</v>
      </c>
      <c r="F144" s="19" t="s">
        <v>1021</v>
      </c>
      <c r="G144" s="2" t="s">
        <v>93</v>
      </c>
      <c r="H144" s="23"/>
      <c r="I144" s="6"/>
      <c r="J144" s="6"/>
      <c r="K144" s="6"/>
      <c r="L144" s="6"/>
      <c r="M144" s="6"/>
      <c r="N144" s="6"/>
      <c r="O144" s="6"/>
      <c r="P144" s="6"/>
      <c r="Q144" s="6"/>
      <c r="R144" s="6"/>
      <c r="S144" s="6"/>
      <c r="T144" s="6"/>
      <c r="U144" s="6"/>
      <c r="V144" s="6"/>
      <c r="W144" s="6"/>
      <c r="X144" s="6"/>
    </row>
    <row r="145" spans="1:24" ht="27">
      <c r="A145" s="19"/>
      <c r="B145" s="19" t="s">
        <v>1022</v>
      </c>
      <c r="C145" s="19" t="s">
        <v>95</v>
      </c>
      <c r="D145" s="19" t="s">
        <v>74</v>
      </c>
      <c r="E145" s="19"/>
      <c r="F145" s="19"/>
      <c r="G145" s="2" t="s">
        <v>85</v>
      </c>
      <c r="H145" s="23"/>
      <c r="I145" s="6"/>
      <c r="J145" s="6"/>
      <c r="K145" s="6"/>
      <c r="L145" s="6"/>
      <c r="M145" s="6"/>
      <c r="N145" s="6"/>
      <c r="O145" s="6"/>
      <c r="P145" s="6"/>
      <c r="Q145" s="6"/>
      <c r="R145" s="6"/>
      <c r="S145" s="6"/>
      <c r="T145" s="6"/>
      <c r="U145" s="6"/>
      <c r="V145" s="6"/>
      <c r="W145" s="6"/>
      <c r="X145" s="6"/>
    </row>
    <row r="146" spans="1:24" ht="119.45">
      <c r="A146" s="19"/>
      <c r="B146" s="19" t="s">
        <v>1023</v>
      </c>
      <c r="C146" s="19" t="s">
        <v>95</v>
      </c>
      <c r="D146" s="19" t="s">
        <v>74</v>
      </c>
      <c r="E146" s="19" t="s">
        <v>1024</v>
      </c>
      <c r="F146" s="19" t="s">
        <v>1025</v>
      </c>
      <c r="G146" s="2" t="s">
        <v>93</v>
      </c>
      <c r="H146" s="23"/>
      <c r="I146" s="6"/>
      <c r="J146" s="6"/>
      <c r="K146" s="6"/>
      <c r="L146" s="6"/>
      <c r="M146" s="6"/>
      <c r="N146" s="6"/>
      <c r="O146" s="6"/>
      <c r="P146" s="6"/>
      <c r="Q146" s="6"/>
      <c r="R146" s="6"/>
      <c r="S146" s="6"/>
      <c r="T146" s="6"/>
      <c r="U146" s="6"/>
      <c r="V146" s="6"/>
      <c r="W146" s="6"/>
      <c r="X146" s="6"/>
    </row>
    <row r="147" spans="1:24" ht="40.15">
      <c r="A147" s="19"/>
      <c r="B147" s="19" t="s">
        <v>1026</v>
      </c>
      <c r="C147" s="19" t="s">
        <v>95</v>
      </c>
      <c r="D147" s="19" t="s">
        <v>74</v>
      </c>
      <c r="E147" s="19" t="s">
        <v>1027</v>
      </c>
      <c r="F147" s="19" t="s">
        <v>1028</v>
      </c>
      <c r="G147" s="2" t="s">
        <v>85</v>
      </c>
      <c r="H147" s="23"/>
      <c r="I147" s="6"/>
      <c r="J147" s="6"/>
      <c r="K147" s="6"/>
      <c r="L147" s="6"/>
      <c r="M147" s="6"/>
      <c r="N147" s="6"/>
      <c r="O147" s="6"/>
      <c r="P147" s="6"/>
      <c r="Q147" s="6"/>
      <c r="R147" s="6"/>
      <c r="S147" s="6"/>
      <c r="T147" s="6"/>
      <c r="U147" s="6"/>
      <c r="V147" s="6"/>
      <c r="W147" s="6"/>
      <c r="X147" s="6"/>
    </row>
    <row r="148" spans="1:24">
      <c r="A148" s="19"/>
      <c r="B148" s="19" t="s">
        <v>1029</v>
      </c>
      <c r="C148" s="19" t="s">
        <v>81</v>
      </c>
      <c r="D148" s="19" t="s">
        <v>74</v>
      </c>
      <c r="E148" s="19" t="s">
        <v>1030</v>
      </c>
      <c r="F148" s="19"/>
      <c r="G148" s="2" t="s">
        <v>90</v>
      </c>
      <c r="H148" s="23"/>
      <c r="I148" s="6"/>
      <c r="J148" s="6"/>
      <c r="K148" s="6"/>
      <c r="L148" s="6"/>
      <c r="M148" s="6"/>
      <c r="N148" s="6"/>
      <c r="O148" s="6"/>
      <c r="P148" s="6"/>
      <c r="Q148" s="6"/>
      <c r="R148" s="6"/>
      <c r="S148" s="6"/>
      <c r="T148" s="6"/>
      <c r="U148" s="6"/>
      <c r="V148" s="6"/>
      <c r="W148" s="6"/>
      <c r="X148" s="6"/>
    </row>
    <row r="149" spans="1:24" ht="40.15">
      <c r="A149" s="19"/>
      <c r="B149" s="19" t="s">
        <v>1031</v>
      </c>
      <c r="C149" s="19" t="s">
        <v>95</v>
      </c>
      <c r="D149" s="19" t="s">
        <v>74</v>
      </c>
      <c r="E149" s="19" t="s">
        <v>1032</v>
      </c>
      <c r="F149" s="19"/>
      <c r="G149" s="2" t="s">
        <v>90</v>
      </c>
      <c r="H149" s="23"/>
      <c r="I149" s="6"/>
      <c r="J149" s="6"/>
      <c r="K149" s="6"/>
      <c r="L149" s="6"/>
      <c r="M149" s="6"/>
      <c r="N149" s="6"/>
      <c r="O149" s="6"/>
      <c r="P149" s="6"/>
      <c r="Q149" s="6"/>
      <c r="R149" s="6"/>
      <c r="S149" s="6"/>
      <c r="T149" s="6"/>
      <c r="U149" s="6"/>
      <c r="V149" s="6"/>
      <c r="W149" s="6"/>
      <c r="X149" s="6"/>
    </row>
    <row r="150" spans="1:24" ht="79.900000000000006">
      <c r="A150" s="19"/>
      <c r="B150" s="19" t="s">
        <v>1033</v>
      </c>
      <c r="C150" s="19" t="s">
        <v>95</v>
      </c>
      <c r="D150" s="19" t="s">
        <v>74</v>
      </c>
      <c r="E150" s="19" t="s">
        <v>1034</v>
      </c>
      <c r="F150" s="19"/>
      <c r="G150" s="2" t="s">
        <v>90</v>
      </c>
      <c r="H150" s="23"/>
      <c r="I150" s="6"/>
      <c r="J150" s="6"/>
      <c r="K150" s="6"/>
      <c r="L150" s="6"/>
      <c r="M150" s="6"/>
      <c r="N150" s="6"/>
      <c r="O150" s="6"/>
      <c r="P150" s="6"/>
      <c r="Q150" s="6"/>
      <c r="R150" s="6"/>
      <c r="S150" s="6"/>
      <c r="T150" s="6"/>
      <c r="U150" s="6"/>
      <c r="V150" s="6"/>
      <c r="W150" s="6"/>
      <c r="X150" s="6"/>
    </row>
    <row r="151" spans="1:24" ht="27">
      <c r="A151" s="19"/>
      <c r="B151" s="19" t="s">
        <v>403</v>
      </c>
      <c r="C151" s="19" t="s">
        <v>95</v>
      </c>
      <c r="D151" s="19" t="s">
        <v>74</v>
      </c>
      <c r="E151" s="19" t="s">
        <v>1035</v>
      </c>
      <c r="F151" s="19"/>
      <c r="G151" s="2" t="s">
        <v>85</v>
      </c>
      <c r="H151" s="23"/>
      <c r="I151" s="6"/>
      <c r="J151" s="6"/>
      <c r="K151" s="6"/>
      <c r="L151" s="6"/>
      <c r="M151" s="6"/>
      <c r="N151" s="6"/>
      <c r="O151" s="6"/>
      <c r="P151" s="6"/>
      <c r="Q151" s="6"/>
      <c r="R151" s="6"/>
      <c r="S151" s="6"/>
      <c r="T151" s="6"/>
      <c r="U151" s="6"/>
      <c r="V151" s="6"/>
      <c r="W151" s="6"/>
      <c r="X151" s="6"/>
    </row>
    <row r="152" spans="1:24" ht="66.599999999999994">
      <c r="A152" s="19"/>
      <c r="B152" s="19" t="s">
        <v>1036</v>
      </c>
      <c r="C152" s="19" t="s">
        <v>95</v>
      </c>
      <c r="D152" s="19" t="s">
        <v>74</v>
      </c>
      <c r="E152" s="19" t="s">
        <v>1037</v>
      </c>
      <c r="F152" s="19" t="s">
        <v>1038</v>
      </c>
      <c r="G152" s="2" t="s">
        <v>85</v>
      </c>
      <c r="H152" s="23"/>
      <c r="I152" s="6"/>
      <c r="J152" s="6"/>
      <c r="K152" s="6"/>
      <c r="L152" s="6"/>
      <c r="M152" s="6"/>
      <c r="N152" s="6"/>
      <c r="O152" s="6"/>
      <c r="P152" s="6"/>
      <c r="Q152" s="6"/>
      <c r="R152" s="6"/>
      <c r="S152" s="6"/>
      <c r="T152" s="6"/>
      <c r="U152" s="6"/>
      <c r="V152" s="6"/>
      <c r="W152" s="6"/>
      <c r="X152" s="6"/>
    </row>
    <row r="153" spans="1:24" ht="93">
      <c r="A153" s="19"/>
      <c r="B153" s="19" t="s">
        <v>1039</v>
      </c>
      <c r="C153" s="19" t="s">
        <v>81</v>
      </c>
      <c r="D153" s="19" t="s">
        <v>74</v>
      </c>
      <c r="E153" s="19" t="s">
        <v>1040</v>
      </c>
      <c r="F153" s="19" t="s">
        <v>1041</v>
      </c>
      <c r="G153" s="2" t="s">
        <v>90</v>
      </c>
      <c r="H153" s="23"/>
      <c r="I153" s="6"/>
      <c r="J153" s="6"/>
      <c r="K153" s="6"/>
      <c r="L153" s="6"/>
      <c r="M153" s="6"/>
      <c r="N153" s="6"/>
      <c r="O153" s="6"/>
      <c r="P153" s="6"/>
      <c r="Q153" s="6"/>
      <c r="R153" s="6"/>
      <c r="S153" s="6"/>
      <c r="T153" s="6"/>
      <c r="U153" s="6"/>
      <c r="V153" s="6"/>
      <c r="W153" s="6"/>
      <c r="X153" s="6"/>
    </row>
    <row r="154" spans="1:24" ht="40.15">
      <c r="A154" s="19"/>
      <c r="B154" s="19" t="s">
        <v>1042</v>
      </c>
      <c r="C154" s="19" t="s">
        <v>81</v>
      </c>
      <c r="D154" s="19" t="s">
        <v>74</v>
      </c>
      <c r="E154" s="19"/>
      <c r="F154" s="19"/>
      <c r="G154" s="2" t="s">
        <v>90</v>
      </c>
      <c r="H154" s="23"/>
      <c r="I154" s="6"/>
      <c r="J154" s="6"/>
      <c r="K154" s="6"/>
      <c r="L154" s="6"/>
      <c r="M154" s="6"/>
      <c r="N154" s="6"/>
      <c r="O154" s="6"/>
      <c r="P154" s="6"/>
      <c r="Q154" s="6"/>
      <c r="R154" s="6"/>
      <c r="S154" s="6"/>
      <c r="T154" s="6"/>
      <c r="U154" s="6"/>
      <c r="V154" s="6"/>
      <c r="W154" s="6"/>
      <c r="X154" s="6"/>
    </row>
    <row r="155" spans="1:24" ht="27">
      <c r="A155" s="19"/>
      <c r="B155" s="19" t="s">
        <v>1043</v>
      </c>
      <c r="C155" s="19" t="s">
        <v>95</v>
      </c>
      <c r="D155" s="19" t="s">
        <v>74</v>
      </c>
      <c r="E155" s="19"/>
      <c r="F155" s="19" t="s">
        <v>1044</v>
      </c>
      <c r="G155" s="2" t="s">
        <v>85</v>
      </c>
      <c r="H155" s="23"/>
      <c r="I155" s="6"/>
      <c r="J155" s="6"/>
      <c r="K155" s="6"/>
      <c r="L155" s="6"/>
      <c r="M155" s="6"/>
      <c r="N155" s="6"/>
      <c r="O155" s="6"/>
      <c r="P155" s="6"/>
      <c r="Q155" s="6"/>
      <c r="R155" s="6"/>
      <c r="S155" s="6"/>
      <c r="T155" s="6"/>
      <c r="U155" s="6"/>
      <c r="V155" s="6"/>
      <c r="W155" s="6"/>
      <c r="X155" s="6"/>
    </row>
    <row r="156" spans="1:24" ht="40.15">
      <c r="A156" s="19"/>
      <c r="B156" s="19" t="s">
        <v>1045</v>
      </c>
      <c r="C156" s="19" t="s">
        <v>95</v>
      </c>
      <c r="D156" s="19" t="s">
        <v>74</v>
      </c>
      <c r="E156" s="19" t="s">
        <v>1046</v>
      </c>
      <c r="F156" s="19" t="s">
        <v>1047</v>
      </c>
      <c r="G156" s="2" t="s">
        <v>93</v>
      </c>
      <c r="H156" s="23"/>
      <c r="I156" s="6"/>
      <c r="J156" s="6"/>
      <c r="K156" s="6"/>
      <c r="L156" s="6"/>
      <c r="M156" s="6"/>
      <c r="N156" s="6"/>
      <c r="O156" s="6"/>
      <c r="P156" s="6"/>
      <c r="Q156" s="6"/>
      <c r="R156" s="6"/>
      <c r="S156" s="6"/>
      <c r="T156" s="6"/>
      <c r="U156" s="6"/>
      <c r="V156" s="6"/>
      <c r="W156" s="6"/>
      <c r="X156" s="6"/>
    </row>
    <row r="157" spans="1:24" ht="53.45">
      <c r="A157" s="19"/>
      <c r="B157" s="19" t="s">
        <v>1048</v>
      </c>
      <c r="C157" s="19" t="s">
        <v>95</v>
      </c>
      <c r="D157" s="19" t="s">
        <v>74</v>
      </c>
      <c r="E157" s="19" t="s">
        <v>1049</v>
      </c>
      <c r="F157" s="19"/>
      <c r="G157" s="2" t="s">
        <v>85</v>
      </c>
      <c r="H157" s="23"/>
      <c r="I157" s="6"/>
      <c r="J157" s="6"/>
      <c r="K157" s="6"/>
      <c r="L157" s="6"/>
      <c r="M157" s="6"/>
      <c r="N157" s="6"/>
      <c r="O157" s="6"/>
      <c r="P157" s="6"/>
      <c r="Q157" s="6"/>
      <c r="R157" s="6"/>
      <c r="S157" s="6"/>
      <c r="T157" s="6"/>
      <c r="U157" s="6"/>
      <c r="V157" s="6"/>
      <c r="W157" s="6"/>
      <c r="X157" s="6"/>
    </row>
    <row r="158" spans="1:24" ht="27">
      <c r="A158" s="19"/>
      <c r="B158" s="19" t="s">
        <v>1050</v>
      </c>
      <c r="C158" s="19" t="s">
        <v>95</v>
      </c>
      <c r="D158" s="19" t="s">
        <v>74</v>
      </c>
      <c r="E158" s="19"/>
      <c r="F158" s="19" t="s">
        <v>1051</v>
      </c>
      <c r="G158" s="2" t="s">
        <v>93</v>
      </c>
      <c r="H158" s="23"/>
      <c r="I158" s="6"/>
      <c r="J158" s="6"/>
      <c r="K158" s="6"/>
      <c r="L158" s="6"/>
      <c r="M158" s="6"/>
      <c r="N158" s="6"/>
      <c r="O158" s="6"/>
      <c r="P158" s="6"/>
      <c r="Q158" s="6"/>
      <c r="R158" s="6"/>
      <c r="S158" s="6"/>
      <c r="T158" s="6"/>
      <c r="U158" s="6"/>
      <c r="V158" s="6"/>
      <c r="W158" s="6"/>
      <c r="X158" s="6"/>
    </row>
    <row r="159" spans="1:24" ht="53.45">
      <c r="A159" s="19"/>
      <c r="B159" s="19" t="s">
        <v>1052</v>
      </c>
      <c r="C159" s="19" t="s">
        <v>81</v>
      </c>
      <c r="D159" s="19" t="s">
        <v>74</v>
      </c>
      <c r="E159" s="19" t="s">
        <v>1053</v>
      </c>
      <c r="F159" s="19"/>
      <c r="G159" s="2" t="s">
        <v>90</v>
      </c>
      <c r="H159" s="23"/>
      <c r="I159" s="6"/>
      <c r="J159" s="6"/>
      <c r="K159" s="6"/>
      <c r="L159" s="6"/>
      <c r="M159" s="6"/>
      <c r="N159" s="6"/>
      <c r="O159" s="6"/>
      <c r="P159" s="6"/>
      <c r="Q159" s="6"/>
      <c r="R159" s="6"/>
      <c r="S159" s="6"/>
      <c r="T159" s="6"/>
      <c r="U159" s="6"/>
      <c r="V159" s="6"/>
      <c r="W159" s="6"/>
      <c r="X159" s="6"/>
    </row>
    <row r="160" spans="1:24" ht="27">
      <c r="A160" s="19"/>
      <c r="B160" s="19" t="s">
        <v>1054</v>
      </c>
      <c r="C160" s="19" t="s">
        <v>95</v>
      </c>
      <c r="D160" s="19" t="s">
        <v>74</v>
      </c>
      <c r="E160" s="19"/>
      <c r="F160" s="19" t="s">
        <v>1055</v>
      </c>
      <c r="G160" s="2" t="s">
        <v>93</v>
      </c>
      <c r="H160" s="23"/>
      <c r="I160" s="6"/>
      <c r="J160" s="6"/>
      <c r="K160" s="6"/>
      <c r="L160" s="6"/>
      <c r="M160" s="6"/>
      <c r="N160" s="6"/>
      <c r="O160" s="6"/>
      <c r="P160" s="6"/>
      <c r="Q160" s="6"/>
      <c r="R160" s="6"/>
      <c r="S160" s="6"/>
      <c r="T160" s="6"/>
      <c r="U160" s="6"/>
      <c r="V160" s="6"/>
      <c r="W160" s="6"/>
      <c r="X160" s="6"/>
    </row>
    <row r="161" spans="1:24" ht="198.6">
      <c r="A161" s="19"/>
      <c r="B161" s="19" t="s">
        <v>1056</v>
      </c>
      <c r="C161" s="19" t="s">
        <v>81</v>
      </c>
      <c r="D161" s="19" t="s">
        <v>74</v>
      </c>
      <c r="E161" s="19" t="s">
        <v>1057</v>
      </c>
      <c r="F161" s="19"/>
      <c r="G161" s="2" t="s">
        <v>85</v>
      </c>
      <c r="H161" s="23"/>
      <c r="I161" s="6"/>
      <c r="J161" s="6"/>
      <c r="K161" s="6"/>
      <c r="L161" s="6"/>
      <c r="M161" s="6"/>
      <c r="N161" s="6"/>
      <c r="O161" s="6"/>
      <c r="P161" s="6"/>
      <c r="Q161" s="6"/>
      <c r="R161" s="6"/>
      <c r="S161" s="6"/>
      <c r="T161" s="6"/>
      <c r="U161" s="6"/>
      <c r="V161" s="6"/>
      <c r="W161" s="6"/>
      <c r="X161" s="6"/>
    </row>
    <row r="162" spans="1:24" ht="53.45">
      <c r="A162" s="19"/>
      <c r="B162" s="19" t="s">
        <v>1058</v>
      </c>
      <c r="C162" s="19" t="s">
        <v>95</v>
      </c>
      <c r="D162" s="19" t="s">
        <v>74</v>
      </c>
      <c r="E162" s="19" t="s">
        <v>1059</v>
      </c>
      <c r="F162" s="19" t="s">
        <v>1060</v>
      </c>
      <c r="G162" s="2" t="s">
        <v>93</v>
      </c>
      <c r="H162" s="23"/>
      <c r="I162" s="6"/>
      <c r="J162" s="6"/>
      <c r="K162" s="6"/>
      <c r="L162" s="6"/>
      <c r="M162" s="6"/>
      <c r="N162" s="6"/>
      <c r="O162" s="6"/>
      <c r="P162" s="6"/>
      <c r="Q162" s="6"/>
      <c r="R162" s="6"/>
      <c r="S162" s="6"/>
      <c r="T162" s="6"/>
      <c r="U162" s="6"/>
      <c r="V162" s="6"/>
      <c r="W162" s="6"/>
      <c r="X162" s="6"/>
    </row>
    <row r="163" spans="1:24" ht="79.900000000000006">
      <c r="A163" s="19"/>
      <c r="B163" s="19" t="s">
        <v>1061</v>
      </c>
      <c r="C163" s="19" t="s">
        <v>81</v>
      </c>
      <c r="D163" s="19" t="s">
        <v>74</v>
      </c>
      <c r="E163" s="19" t="s">
        <v>1062</v>
      </c>
      <c r="F163" s="19"/>
      <c r="G163" s="2" t="s">
        <v>77</v>
      </c>
      <c r="H163" s="23"/>
      <c r="I163" s="6"/>
      <c r="J163" s="6"/>
      <c r="K163" s="6"/>
      <c r="L163" s="6"/>
      <c r="M163" s="6"/>
      <c r="N163" s="6"/>
      <c r="O163" s="6"/>
      <c r="P163" s="6"/>
      <c r="Q163" s="6"/>
      <c r="R163" s="6"/>
      <c r="S163" s="6"/>
      <c r="T163" s="6"/>
      <c r="U163" s="6"/>
      <c r="V163" s="6"/>
      <c r="W163" s="6"/>
      <c r="X163" s="6"/>
    </row>
    <row r="164" spans="1:24" ht="79.900000000000006">
      <c r="A164" s="19"/>
      <c r="B164" s="19" t="s">
        <v>1063</v>
      </c>
      <c r="C164" s="19" t="s">
        <v>81</v>
      </c>
      <c r="D164" s="19" t="s">
        <v>74</v>
      </c>
      <c r="E164" s="19" t="s">
        <v>1064</v>
      </c>
      <c r="F164" s="19"/>
      <c r="G164" s="2" t="s">
        <v>90</v>
      </c>
      <c r="H164" s="23"/>
      <c r="I164" s="6"/>
      <c r="J164" s="6"/>
      <c r="K164" s="6"/>
      <c r="L164" s="6"/>
      <c r="M164" s="6"/>
      <c r="N164" s="6"/>
      <c r="O164" s="6"/>
      <c r="P164" s="6"/>
      <c r="Q164" s="6"/>
      <c r="R164" s="6"/>
      <c r="S164" s="6"/>
      <c r="T164" s="6"/>
      <c r="U164" s="6"/>
      <c r="V164" s="6"/>
      <c r="W164" s="6"/>
      <c r="X164" s="6"/>
    </row>
    <row r="165" spans="1:24" ht="27">
      <c r="A165" s="19"/>
      <c r="B165" s="19" t="s">
        <v>1065</v>
      </c>
      <c r="C165" s="19" t="s">
        <v>95</v>
      </c>
      <c r="D165" s="19" t="s">
        <v>74</v>
      </c>
      <c r="E165" s="19"/>
      <c r="F165" s="19" t="s">
        <v>1066</v>
      </c>
      <c r="G165" s="2" t="s">
        <v>93</v>
      </c>
      <c r="H165" s="23"/>
      <c r="I165" s="6"/>
      <c r="J165" s="6"/>
      <c r="K165" s="6"/>
      <c r="L165" s="6"/>
      <c r="M165" s="6"/>
      <c r="N165" s="6"/>
      <c r="O165" s="6"/>
      <c r="P165" s="6"/>
      <c r="Q165" s="6"/>
      <c r="R165" s="6"/>
      <c r="S165" s="6"/>
      <c r="T165" s="6"/>
      <c r="U165" s="6"/>
      <c r="V165" s="6"/>
      <c r="W165" s="6"/>
      <c r="X165" s="6"/>
    </row>
    <row r="166" spans="1:24" ht="53.45">
      <c r="A166" s="19"/>
      <c r="B166" s="19" t="s">
        <v>1067</v>
      </c>
      <c r="C166" s="19" t="s">
        <v>81</v>
      </c>
      <c r="D166" s="19" t="s">
        <v>74</v>
      </c>
      <c r="E166" s="19" t="s">
        <v>1068</v>
      </c>
      <c r="F166" s="19" t="s">
        <v>1069</v>
      </c>
      <c r="G166" s="2" t="s">
        <v>90</v>
      </c>
      <c r="H166" s="23"/>
      <c r="I166" s="6"/>
      <c r="J166" s="6"/>
      <c r="K166" s="6"/>
      <c r="L166" s="6"/>
      <c r="M166" s="6"/>
      <c r="N166" s="6"/>
      <c r="O166" s="6"/>
      <c r="P166" s="6"/>
      <c r="Q166" s="6"/>
      <c r="R166" s="6"/>
      <c r="S166" s="6"/>
      <c r="T166" s="6"/>
      <c r="U166" s="6"/>
      <c r="V166" s="6"/>
      <c r="W166" s="6"/>
      <c r="X166" s="6"/>
    </row>
    <row r="167" spans="1:24" ht="53.45">
      <c r="A167" s="19"/>
      <c r="B167" s="19" t="s">
        <v>1070</v>
      </c>
      <c r="C167" s="19"/>
      <c r="D167" s="19" t="s">
        <v>74</v>
      </c>
      <c r="E167" s="19" t="s">
        <v>1071</v>
      </c>
      <c r="F167" s="19"/>
      <c r="G167" s="215" t="s">
        <v>90</v>
      </c>
      <c r="H167" s="23"/>
      <c r="I167" s="6"/>
      <c r="J167" s="6"/>
      <c r="K167" s="6"/>
      <c r="L167" s="6"/>
      <c r="M167" s="6"/>
      <c r="N167" s="6"/>
      <c r="O167" s="6"/>
      <c r="P167" s="6"/>
      <c r="Q167" s="6"/>
      <c r="R167" s="6"/>
      <c r="S167" s="6"/>
      <c r="T167" s="6"/>
      <c r="U167" s="6"/>
      <c r="V167" s="6"/>
      <c r="W167" s="6"/>
      <c r="X167" s="6"/>
    </row>
    <row r="168" spans="1:24" ht="40.15">
      <c r="A168" s="19"/>
      <c r="B168" s="19" t="s">
        <v>1072</v>
      </c>
      <c r="C168" s="19" t="s">
        <v>95</v>
      </c>
      <c r="D168" s="19" t="s">
        <v>74</v>
      </c>
      <c r="E168" s="19"/>
      <c r="F168" s="19" t="s">
        <v>1073</v>
      </c>
      <c r="G168" s="215" t="s">
        <v>77</v>
      </c>
      <c r="H168" s="23">
        <v>45907</v>
      </c>
      <c r="I168" s="6"/>
      <c r="J168" s="6" t="s">
        <v>25</v>
      </c>
      <c r="K168" s="6"/>
      <c r="L168" s="6"/>
      <c r="M168" s="6"/>
      <c r="N168" s="6"/>
      <c r="O168" s="6"/>
      <c r="P168" s="6"/>
      <c r="Q168" s="6"/>
      <c r="R168" s="6"/>
      <c r="S168" s="6"/>
      <c r="T168" s="6"/>
      <c r="U168" s="6"/>
      <c r="V168" s="6"/>
      <c r="W168" s="6"/>
      <c r="X168" s="6"/>
    </row>
    <row r="169" spans="1:24" ht="132.6">
      <c r="A169" s="19"/>
      <c r="B169" s="19" t="s">
        <v>1074</v>
      </c>
      <c r="C169" s="19" t="s">
        <v>95</v>
      </c>
      <c r="D169" s="19" t="s">
        <v>74</v>
      </c>
      <c r="E169" s="19" t="s">
        <v>1075</v>
      </c>
      <c r="F169" s="19" t="s">
        <v>1076</v>
      </c>
      <c r="G169" s="215" t="s">
        <v>85</v>
      </c>
      <c r="H169" s="23">
        <v>45907</v>
      </c>
      <c r="I169" s="6"/>
      <c r="J169" s="6" t="s">
        <v>25</v>
      </c>
      <c r="K169" s="6" t="s">
        <v>31</v>
      </c>
      <c r="L169" s="6"/>
      <c r="M169" s="6"/>
      <c r="N169" s="6"/>
      <c r="O169" s="6"/>
      <c r="P169" s="6"/>
      <c r="Q169" s="6"/>
      <c r="R169" s="6"/>
      <c r="S169" s="6"/>
      <c r="T169" s="6"/>
      <c r="U169" s="6"/>
      <c r="V169" s="6"/>
      <c r="W169" s="6"/>
      <c r="X169" s="6"/>
    </row>
    <row r="170" spans="1:24" ht="36">
      <c r="A170" s="19"/>
      <c r="B170" s="19" t="s">
        <v>1077</v>
      </c>
      <c r="C170" s="19"/>
      <c r="D170" s="19" t="s">
        <v>74</v>
      </c>
      <c r="E170" s="19"/>
      <c r="F170" s="19" t="s">
        <v>1078</v>
      </c>
      <c r="G170" s="215" t="s">
        <v>93</v>
      </c>
      <c r="H170" s="23"/>
      <c r="I170" s="6"/>
      <c r="J170" s="6"/>
      <c r="K170" s="6"/>
      <c r="L170" s="6"/>
      <c r="M170" s="6"/>
      <c r="N170" s="6"/>
      <c r="O170" s="6"/>
      <c r="P170" s="6"/>
      <c r="Q170" s="6"/>
      <c r="R170" s="6"/>
      <c r="S170" s="6"/>
      <c r="T170" s="6"/>
      <c r="U170" s="6"/>
      <c r="V170" s="6"/>
      <c r="W170" s="6"/>
      <c r="X170" s="6"/>
    </row>
    <row r="171" spans="1:24" ht="36">
      <c r="A171" s="19"/>
      <c r="B171" s="19" t="s">
        <v>1079</v>
      </c>
      <c r="C171" s="19" t="s">
        <v>95</v>
      </c>
      <c r="D171" s="19" t="s">
        <v>74</v>
      </c>
      <c r="E171" s="19" t="s">
        <v>1080</v>
      </c>
      <c r="F171" s="19"/>
      <c r="G171" s="215" t="s">
        <v>90</v>
      </c>
      <c r="H171" s="23"/>
      <c r="I171" s="6"/>
      <c r="J171" s="6"/>
      <c r="K171" s="6" t="s">
        <v>27</v>
      </c>
      <c r="L171" s="6"/>
      <c r="M171" s="6"/>
      <c r="N171" s="6"/>
      <c r="O171" s="6"/>
      <c r="P171" s="6"/>
      <c r="Q171" s="6"/>
      <c r="R171" s="6"/>
      <c r="S171" s="6"/>
      <c r="T171" s="6"/>
      <c r="U171" s="6"/>
      <c r="V171" s="6"/>
      <c r="W171" s="6"/>
      <c r="X171" s="6"/>
    </row>
    <row r="172" spans="1:24" ht="36">
      <c r="A172" s="19"/>
      <c r="B172" s="19" t="s">
        <v>1081</v>
      </c>
      <c r="C172" s="19" t="s">
        <v>81</v>
      </c>
      <c r="D172" s="19" t="s">
        <v>74</v>
      </c>
      <c r="E172" s="19" t="s">
        <v>1082</v>
      </c>
      <c r="F172" s="19"/>
      <c r="G172" s="215" t="s">
        <v>90</v>
      </c>
      <c r="H172" s="23"/>
      <c r="I172" s="6"/>
      <c r="J172" s="6"/>
      <c r="K172" s="6"/>
      <c r="L172" s="6"/>
      <c r="M172" s="6"/>
      <c r="N172" s="6"/>
      <c r="O172" s="6"/>
      <c r="P172" s="6"/>
      <c r="Q172" s="6"/>
      <c r="R172" s="6"/>
      <c r="S172" s="6"/>
      <c r="T172" s="6"/>
      <c r="U172" s="6"/>
      <c r="V172" s="6"/>
      <c r="W172" s="6"/>
      <c r="X172" s="6"/>
    </row>
    <row r="173" spans="1:24" ht="60">
      <c r="A173" s="19"/>
      <c r="B173" s="19" t="s">
        <v>1083</v>
      </c>
      <c r="C173" s="19" t="s">
        <v>95</v>
      </c>
      <c r="D173" s="19" t="s">
        <v>74</v>
      </c>
      <c r="E173" s="19" t="s">
        <v>1084</v>
      </c>
      <c r="F173" s="19" t="s">
        <v>1085</v>
      </c>
      <c r="G173" s="215" t="s">
        <v>85</v>
      </c>
      <c r="H173" s="23">
        <v>45663</v>
      </c>
      <c r="I173" s="6"/>
      <c r="J173" s="6" t="s">
        <v>25</v>
      </c>
      <c r="K173" s="6"/>
      <c r="L173" s="6"/>
      <c r="M173" s="6"/>
      <c r="N173" s="6"/>
      <c r="O173" s="6"/>
      <c r="P173" s="6"/>
      <c r="Q173" s="6"/>
      <c r="R173" s="6"/>
      <c r="S173" s="6"/>
      <c r="T173" s="6"/>
      <c r="U173" s="6"/>
      <c r="V173" s="6"/>
      <c r="W173" s="6"/>
      <c r="X173" s="6"/>
    </row>
    <row r="174" spans="1:24" ht="166.5">
      <c r="A174" s="19"/>
      <c r="B174" s="19" t="s">
        <v>1086</v>
      </c>
      <c r="C174" s="19" t="s">
        <v>95</v>
      </c>
      <c r="D174" s="19" t="s">
        <v>74</v>
      </c>
      <c r="E174" s="19" t="s">
        <v>1087</v>
      </c>
      <c r="F174" s="19"/>
      <c r="G174" s="215" t="s">
        <v>85</v>
      </c>
      <c r="H174" s="23">
        <v>46041</v>
      </c>
      <c r="I174" s="6"/>
      <c r="J174" s="6" t="s">
        <v>25</v>
      </c>
      <c r="K174" s="6" t="s">
        <v>33</v>
      </c>
      <c r="L174" s="6"/>
      <c r="M174" s="6"/>
      <c r="N174" s="6"/>
      <c r="O174" s="6"/>
      <c r="P174" s="6"/>
      <c r="Q174" s="6"/>
      <c r="R174" s="6"/>
      <c r="S174" s="6"/>
      <c r="T174" s="6"/>
      <c r="U174" s="6"/>
      <c r="V174" s="6"/>
      <c r="W174" s="6"/>
      <c r="X174" s="6"/>
    </row>
    <row r="175" spans="1:24" ht="48">
      <c r="A175" s="19"/>
      <c r="B175" s="19" t="s">
        <v>1088</v>
      </c>
      <c r="C175" s="19" t="s">
        <v>95</v>
      </c>
      <c r="D175" s="19" t="s">
        <v>74</v>
      </c>
      <c r="E175" s="19" t="s">
        <v>1089</v>
      </c>
      <c r="F175" s="19" t="s">
        <v>1090</v>
      </c>
      <c r="G175" s="215" t="s">
        <v>85</v>
      </c>
      <c r="H175" s="23"/>
      <c r="I175" s="6"/>
      <c r="J175" s="6"/>
      <c r="K175" s="6"/>
      <c r="L175" s="6"/>
      <c r="M175" s="6"/>
      <c r="N175" s="6"/>
      <c r="O175" s="6"/>
      <c r="P175" s="6"/>
      <c r="Q175" s="6"/>
      <c r="R175" s="6"/>
      <c r="S175" s="6"/>
      <c r="T175" s="6"/>
      <c r="U175" s="6"/>
      <c r="V175" s="6"/>
      <c r="W175" s="6"/>
      <c r="X175" s="6"/>
    </row>
    <row r="176" spans="1:24" ht="84">
      <c r="A176" s="19"/>
      <c r="B176" s="19" t="s">
        <v>1091</v>
      </c>
      <c r="C176" s="19" t="s">
        <v>95</v>
      </c>
      <c r="D176" s="19" t="s">
        <v>74</v>
      </c>
      <c r="E176" s="19" t="s">
        <v>1092</v>
      </c>
      <c r="F176" s="19" t="s">
        <v>1093</v>
      </c>
      <c r="G176" s="215" t="s">
        <v>85</v>
      </c>
      <c r="H176" s="23"/>
      <c r="I176" s="6"/>
      <c r="J176" s="6"/>
      <c r="K176" s="6"/>
      <c r="L176" s="6"/>
      <c r="M176" s="6"/>
      <c r="N176" s="6"/>
      <c r="O176" s="6"/>
      <c r="P176" s="6"/>
      <c r="Q176" s="6"/>
      <c r="R176" s="6"/>
      <c r="S176" s="6"/>
      <c r="T176" s="6"/>
      <c r="U176" s="6"/>
      <c r="V176" s="6"/>
      <c r="W176" s="6"/>
      <c r="X176" s="6"/>
    </row>
    <row r="177" spans="1:24" ht="36">
      <c r="A177" s="19"/>
      <c r="B177" s="19" t="s">
        <v>1094</v>
      </c>
      <c r="C177" s="19"/>
      <c r="D177" s="19" t="s">
        <v>74</v>
      </c>
      <c r="E177" s="19" t="s">
        <v>1095</v>
      </c>
      <c r="F177" s="19"/>
      <c r="G177" s="215" t="s">
        <v>93</v>
      </c>
      <c r="H177" s="23">
        <v>45996</v>
      </c>
      <c r="I177" s="6"/>
      <c r="J177" s="6" t="s">
        <v>25</v>
      </c>
      <c r="K177" s="6" t="s">
        <v>1096</v>
      </c>
      <c r="L177" s="6"/>
      <c r="M177" s="6"/>
      <c r="N177" s="6"/>
      <c r="O177" s="6"/>
      <c r="P177" s="6"/>
      <c r="Q177" s="6"/>
      <c r="R177" s="6"/>
      <c r="S177" s="6"/>
      <c r="T177" s="6"/>
      <c r="U177" s="6"/>
      <c r="V177" s="6"/>
      <c r="W177" s="6"/>
      <c r="X177" s="6"/>
    </row>
    <row r="178" spans="1:24" ht="154.5">
      <c r="A178" s="19"/>
      <c r="B178" s="19" t="s">
        <v>1097</v>
      </c>
      <c r="C178" s="19" t="s">
        <v>95</v>
      </c>
      <c r="D178" s="19" t="s">
        <v>74</v>
      </c>
      <c r="E178" s="19" t="s">
        <v>1098</v>
      </c>
      <c r="F178" s="19" t="s">
        <v>1099</v>
      </c>
      <c r="G178" s="215" t="s">
        <v>85</v>
      </c>
      <c r="H178" s="23">
        <v>46043</v>
      </c>
      <c r="I178" s="6"/>
      <c r="J178" s="6" t="s">
        <v>25</v>
      </c>
      <c r="K178" s="6" t="s">
        <v>29</v>
      </c>
      <c r="L178" s="6"/>
      <c r="M178" s="6"/>
      <c r="N178" s="6"/>
      <c r="O178" s="6"/>
      <c r="P178" s="6"/>
      <c r="Q178" s="6"/>
      <c r="R178" s="6"/>
      <c r="S178" s="6"/>
      <c r="T178" s="6"/>
      <c r="U178" s="6"/>
      <c r="V178" s="6"/>
      <c r="W178" s="6"/>
      <c r="X178" s="6"/>
    </row>
    <row r="179" spans="1:24" ht="15">
      <c r="A179" s="19"/>
      <c r="B179" s="19" t="s">
        <v>1100</v>
      </c>
      <c r="C179" s="19"/>
      <c r="D179" s="19" t="s">
        <v>74</v>
      </c>
      <c r="E179" s="19" t="s">
        <v>1101</v>
      </c>
      <c r="F179" s="19"/>
      <c r="G179" s="215" t="s">
        <v>85</v>
      </c>
      <c r="H179" s="23"/>
      <c r="I179" s="6"/>
      <c r="J179" s="6"/>
      <c r="K179" s="6"/>
      <c r="L179" s="6"/>
      <c r="M179" s="6"/>
      <c r="N179" s="6"/>
      <c r="O179" s="6"/>
      <c r="P179" s="6"/>
      <c r="Q179" s="6"/>
      <c r="R179" s="6"/>
      <c r="S179" s="6"/>
      <c r="T179" s="6"/>
      <c r="U179" s="6"/>
      <c r="V179" s="6"/>
      <c r="W179" s="6"/>
      <c r="X179" s="6"/>
    </row>
    <row r="180" spans="1:24" ht="72">
      <c r="A180" s="19"/>
      <c r="B180" s="19" t="s">
        <v>1102</v>
      </c>
      <c r="C180" s="19"/>
      <c r="D180" s="19" t="s">
        <v>74</v>
      </c>
      <c r="E180" s="19" t="s">
        <v>1103</v>
      </c>
      <c r="F180" s="19"/>
      <c r="G180" s="215" t="s">
        <v>93</v>
      </c>
      <c r="H180" s="23"/>
      <c r="I180" s="6"/>
      <c r="J180" s="6"/>
      <c r="K180" s="6"/>
      <c r="L180" s="6"/>
      <c r="M180" s="6"/>
      <c r="N180" s="6"/>
      <c r="O180" s="6"/>
      <c r="P180" s="6"/>
      <c r="Q180" s="6"/>
      <c r="R180" s="6"/>
      <c r="S180" s="6"/>
      <c r="T180" s="6"/>
      <c r="U180" s="6"/>
      <c r="V180" s="6"/>
      <c r="W180" s="6"/>
      <c r="X180" s="6"/>
    </row>
    <row r="181" spans="1:24" ht="96">
      <c r="A181" s="19"/>
      <c r="B181" s="19" t="s">
        <v>1104</v>
      </c>
      <c r="C181" s="19" t="s">
        <v>81</v>
      </c>
      <c r="D181" s="19" t="s">
        <v>74</v>
      </c>
      <c r="E181" s="19" t="s">
        <v>1105</v>
      </c>
      <c r="F181" s="19"/>
      <c r="G181" s="215" t="s">
        <v>77</v>
      </c>
      <c r="H181" s="23">
        <v>46066</v>
      </c>
      <c r="I181" s="6"/>
      <c r="J181" s="6" t="s">
        <v>28</v>
      </c>
      <c r="K181" s="6"/>
      <c r="L181" s="6"/>
      <c r="M181" s="6"/>
      <c r="N181" s="6"/>
      <c r="O181" s="6"/>
      <c r="P181" s="6"/>
      <c r="Q181" s="6"/>
      <c r="R181" s="6"/>
      <c r="S181" s="6"/>
      <c r="T181" s="6"/>
      <c r="U181" s="6"/>
      <c r="V181" s="6"/>
      <c r="W181" s="6"/>
      <c r="X181" s="6"/>
    </row>
    <row r="182" spans="1:24" ht="60">
      <c r="A182" s="19"/>
      <c r="B182" s="19" t="s">
        <v>1106</v>
      </c>
      <c r="C182" s="19"/>
      <c r="D182" s="19" t="s">
        <v>74</v>
      </c>
      <c r="E182" s="19" t="s">
        <v>1107</v>
      </c>
      <c r="F182" s="19"/>
      <c r="G182" s="215" t="s">
        <v>93</v>
      </c>
      <c r="H182" s="23"/>
      <c r="I182" s="6"/>
      <c r="J182" s="6"/>
      <c r="K182" s="6"/>
      <c r="L182" s="6"/>
      <c r="M182" s="6"/>
      <c r="N182" s="6"/>
      <c r="O182" s="6"/>
      <c r="P182" s="6"/>
      <c r="Q182" s="6"/>
      <c r="R182" s="6"/>
      <c r="S182" s="6"/>
      <c r="T182" s="6"/>
      <c r="U182" s="6"/>
      <c r="V182" s="6"/>
      <c r="W182" s="6"/>
      <c r="X182" s="6"/>
    </row>
    <row r="183" spans="1:24" ht="48">
      <c r="A183" s="19"/>
      <c r="B183" s="19" t="s">
        <v>1108</v>
      </c>
      <c r="C183" s="19" t="s">
        <v>95</v>
      </c>
      <c r="D183" s="19" t="s">
        <v>74</v>
      </c>
      <c r="E183" s="19" t="s">
        <v>1109</v>
      </c>
      <c r="F183" s="19" t="s">
        <v>1110</v>
      </c>
      <c r="G183" s="215" t="s">
        <v>93</v>
      </c>
      <c r="H183" s="23"/>
      <c r="I183" s="6"/>
      <c r="J183" s="6" t="s">
        <v>25</v>
      </c>
      <c r="K183" s="6"/>
      <c r="L183" s="6"/>
      <c r="M183" s="6"/>
      <c r="N183" s="6"/>
      <c r="O183" s="6"/>
      <c r="P183" s="6"/>
      <c r="Q183" s="6"/>
      <c r="R183" s="6"/>
      <c r="S183" s="6"/>
      <c r="T183" s="6"/>
      <c r="U183" s="6"/>
      <c r="V183" s="6"/>
      <c r="W183" s="6"/>
      <c r="X183" s="6"/>
    </row>
    <row r="184" spans="1:24" ht="24">
      <c r="A184" s="19"/>
      <c r="B184" s="19" t="s">
        <v>1111</v>
      </c>
      <c r="C184" s="19"/>
      <c r="D184" s="19" t="s">
        <v>74</v>
      </c>
      <c r="E184" s="19" t="s">
        <v>1112</v>
      </c>
      <c r="F184" s="19" t="s">
        <v>1113</v>
      </c>
      <c r="G184" s="215" t="s">
        <v>93</v>
      </c>
      <c r="H184" s="23"/>
      <c r="I184" s="6"/>
      <c r="J184" s="6"/>
      <c r="K184" s="6"/>
      <c r="L184" s="6"/>
      <c r="M184" s="6"/>
      <c r="N184" s="6"/>
      <c r="O184" s="6"/>
      <c r="P184" s="6"/>
      <c r="Q184" s="6"/>
      <c r="R184" s="6"/>
      <c r="S184" s="6"/>
      <c r="T184" s="6"/>
      <c r="U184" s="6"/>
      <c r="V184" s="6"/>
      <c r="W184" s="6"/>
      <c r="X184" s="6"/>
    </row>
    <row r="185" spans="1:24" ht="24">
      <c r="A185" s="19" t="s">
        <v>79</v>
      </c>
      <c r="B185" s="19" t="s">
        <v>1114</v>
      </c>
      <c r="C185" s="19"/>
      <c r="D185" s="19" t="s">
        <v>74</v>
      </c>
      <c r="E185" s="19" t="s">
        <v>1115</v>
      </c>
      <c r="F185" s="19" t="s">
        <v>1116</v>
      </c>
      <c r="G185" s="2" t="s">
        <v>90</v>
      </c>
      <c r="H185" s="23"/>
      <c r="I185" s="6"/>
      <c r="J185" s="6"/>
      <c r="K185" s="6"/>
      <c r="L185" s="6"/>
      <c r="M185" s="6"/>
      <c r="N185" s="6"/>
      <c r="O185" s="6"/>
      <c r="P185" s="6"/>
      <c r="Q185" s="6"/>
      <c r="R185" s="6" t="e">
        <f xml:space="preserve"> _xlfn.CONCAT(C_1[[#This Row],[ESCALATE]], "-",C_1[[#This Row],[Row_PM]])</f>
        <v>#VALUE!</v>
      </c>
      <c r="S185" s="6" t="e">
        <f xml:space="preserve"> _xlfn.CONCAT(C_1[[#This Row],[ESCALATE]], "-",C_1[[#This Row],[Notify_PM]])</f>
        <v>#VALUE!</v>
      </c>
      <c r="T185" s="6">
        <f>ROW()</f>
        <v>185</v>
      </c>
      <c r="U185" s="6" t="e">
        <f>IF(C_1[[#This Row],[OWNER NAME 1]] = "", "",
   IF(_xlfn.XLOOKUP(C_1[[#This Row],[OWNER NAME 1]],OWNER_LIST[Owner Name], OWNER_LIST[Email], "") = "", "",
      _xlfn.XLOOKUP(C_1[[#This Row],[OWNER NAME 1]], OWNER_LIST[Owner Name], OWNER_LIST[Email], "")))</f>
        <v>#VALUE!</v>
      </c>
      <c r="V185" s="6" t="e">
        <f>IF(C_1[[#This Row],[OWNER NAME 2]] = "", "",
   IF(_xlfn.XLOOKUP(C_1[[#This Row],[OWNER NAME 2]],OWNER_LIST[Owner Name], OWNER_LIST[Email], "") = "", "",
      _xlfn.XLOOKUP(C_1[[#This Row],[OWNER NAME 2]], OWNER_LIST[Owner Name], OWNER_LIST[Email], "")))</f>
        <v>#VALUE!</v>
      </c>
      <c r="W185" s="6" t="str">
        <f>'Bldg C 12WLOA'!$A$37</f>
        <v>C1</v>
      </c>
      <c r="X185" s="6" t="e">
        <f>IF(AND(NOT(ISBLANK(C_1[[#This Row],[ACTION - INFO]])),C_1[[#This Row],[ACTION - INFO]] &lt;&gt; "ACTION - INFO"),"Y","N")</f>
        <v>#VALUE!</v>
      </c>
    </row>
    <row r="186" spans="1:24" ht="60">
      <c r="A186" s="19" t="s">
        <v>834</v>
      </c>
      <c r="B186" s="19" t="s">
        <v>1117</v>
      </c>
      <c r="C186" s="19"/>
      <c r="D186" s="19" t="s">
        <v>74</v>
      </c>
      <c r="E186" s="19" t="s">
        <v>1118</v>
      </c>
      <c r="F186" s="19" t="s">
        <v>1119</v>
      </c>
      <c r="G186" s="2" t="s">
        <v>93</v>
      </c>
      <c r="H186" s="23"/>
      <c r="I186" s="6"/>
      <c r="J186" s="6"/>
      <c r="K186" s="6"/>
      <c r="L186" s="6"/>
      <c r="M186" s="6"/>
      <c r="N186" s="6"/>
      <c r="O186" s="6"/>
      <c r="P186" s="6"/>
      <c r="Q186" s="6"/>
      <c r="R186" s="6"/>
      <c r="S186" s="6"/>
      <c r="T186" s="6"/>
      <c r="U186" s="6"/>
      <c r="V186" s="6"/>
      <c r="W186" s="6"/>
      <c r="X186" s="6"/>
    </row>
    <row r="187" spans="1:24" ht="60">
      <c r="A187" s="19" t="s">
        <v>180</v>
      </c>
      <c r="B187" s="19" t="s">
        <v>1120</v>
      </c>
      <c r="C187" s="19"/>
      <c r="D187" s="19" t="s">
        <v>74</v>
      </c>
      <c r="E187" s="19"/>
      <c r="F187" s="19" t="s">
        <v>1121</v>
      </c>
      <c r="G187" s="2" t="s">
        <v>85</v>
      </c>
      <c r="H187" s="23"/>
      <c r="I187" s="6"/>
      <c r="J187" s="6"/>
      <c r="K187" s="6"/>
      <c r="L187" s="6"/>
      <c r="M187" s="6"/>
      <c r="N187" s="6"/>
      <c r="O187" s="6"/>
      <c r="P187" s="6"/>
      <c r="Q187" s="6"/>
      <c r="R187" s="6" t="e">
        <f xml:space="preserve"> _xlfn.CONCAT(C_1[[#This Row],[ESCALATE]], "-",C_1[[#This Row],[Row_PM]])</f>
        <v>#VALUE!</v>
      </c>
      <c r="S187" s="6" t="e">
        <f xml:space="preserve"> _xlfn.CONCAT(C_1[[#This Row],[ESCALATE]], "-",C_1[[#This Row],[Notify_PM]])</f>
        <v>#VALUE!</v>
      </c>
      <c r="T187" s="6">
        <f>ROW()</f>
        <v>187</v>
      </c>
      <c r="U187" s="6" t="e">
        <f>IF(C_1[[#This Row],[OWNER NAME 1]] = "", "",
   IF(_xlfn.XLOOKUP(C_1[[#This Row],[OWNER NAME 1]],OWNER_LIST[Owner Name], OWNER_LIST[Email], "") = "", "",
      _xlfn.XLOOKUP(C_1[[#This Row],[OWNER NAME 1]], OWNER_LIST[Owner Name], OWNER_LIST[Email], "")))</f>
        <v>#VALUE!</v>
      </c>
      <c r="V187" s="6" t="e">
        <f>IF(C_1[[#This Row],[OWNER NAME 2]] = "", "",
   IF(_xlfn.XLOOKUP(C_1[[#This Row],[OWNER NAME 2]],OWNER_LIST[Owner Name], OWNER_LIST[Email], "") = "", "",
      _xlfn.XLOOKUP(C_1[[#This Row],[OWNER NAME 2]], OWNER_LIST[Owner Name], OWNER_LIST[Email], "")))</f>
        <v>#VALUE!</v>
      </c>
      <c r="W187" s="6" t="str">
        <f>'Bldg C 12WLOA'!$A$37</f>
        <v>C1</v>
      </c>
      <c r="X187" s="6" t="e">
        <f>IF(AND(NOT(ISBLANK(C_1[[#This Row],[ACTION - INFO]])),C_1[[#This Row],[ACTION - INFO]] &lt;&gt; "ACTION - INFO"),"Y","N")</f>
        <v>#VALUE!</v>
      </c>
    </row>
    <row r="188" spans="1:24" ht="36">
      <c r="A188" s="19" t="s">
        <v>152</v>
      </c>
      <c r="B188" s="19" t="s">
        <v>1122</v>
      </c>
      <c r="C188" s="19" t="s">
        <v>95</v>
      </c>
      <c r="D188" s="19" t="s">
        <v>74</v>
      </c>
      <c r="E188" s="19"/>
      <c r="F188" s="19" t="s">
        <v>1123</v>
      </c>
      <c r="G188" s="2" t="s">
        <v>85</v>
      </c>
      <c r="H188" s="23"/>
      <c r="I188" s="6"/>
      <c r="J188" s="6"/>
      <c r="K188" s="6"/>
      <c r="L188" s="6"/>
      <c r="M188" s="6"/>
      <c r="N188" s="6"/>
      <c r="O188" s="6"/>
      <c r="P188" s="6"/>
      <c r="Q188" s="6"/>
      <c r="R188" s="6" t="e">
        <f xml:space="preserve"> _xlfn.CONCAT(C_1[[#This Row],[ESCALATE]], "-",C_1[[#This Row],[Row_PM]])</f>
        <v>#VALUE!</v>
      </c>
      <c r="S188" s="6" t="e">
        <f xml:space="preserve"> _xlfn.CONCAT(C_1[[#This Row],[ESCALATE]], "-",C_1[[#This Row],[Notify_PM]])</f>
        <v>#VALUE!</v>
      </c>
      <c r="T188" s="6">
        <f>ROW()</f>
        <v>188</v>
      </c>
      <c r="U188" s="6" t="e">
        <f>IF(C_1[[#This Row],[OWNER NAME 1]] = "", "",
   IF(_xlfn.XLOOKUP(C_1[[#This Row],[OWNER NAME 1]],OWNER_LIST[Owner Name], OWNER_LIST[Email], "") = "", "",
      _xlfn.XLOOKUP(C_1[[#This Row],[OWNER NAME 1]], OWNER_LIST[Owner Name], OWNER_LIST[Email], "")))</f>
        <v>#VALUE!</v>
      </c>
      <c r="V188" s="6" t="e">
        <f>IF(C_1[[#This Row],[OWNER NAME 2]] = "", "",
   IF(_xlfn.XLOOKUP(C_1[[#This Row],[OWNER NAME 2]],OWNER_LIST[Owner Name], OWNER_LIST[Email], "") = "", "",
      _xlfn.XLOOKUP(C_1[[#This Row],[OWNER NAME 2]], OWNER_LIST[Owner Name], OWNER_LIST[Email], "")))</f>
        <v>#VALUE!</v>
      </c>
      <c r="W188" s="6" t="str">
        <f>'Bldg C 12WLOA'!$A$37</f>
        <v>C1</v>
      </c>
      <c r="X188" s="6" t="e">
        <f>IF(AND(NOT(ISBLANK(C_1[[#This Row],[ACTION - INFO]])),C_1[[#This Row],[ACTION - INFO]] &lt;&gt; "ACTION - INFO"),"Y","N")</f>
        <v>#VALUE!</v>
      </c>
    </row>
    <row r="189" spans="1:24" ht="36">
      <c r="A189" s="19" t="s">
        <v>152</v>
      </c>
      <c r="B189" s="19" t="s">
        <v>1124</v>
      </c>
      <c r="C189" s="19"/>
      <c r="D189" s="19" t="s">
        <v>74</v>
      </c>
      <c r="E189" s="19"/>
      <c r="F189" s="19" t="s">
        <v>1125</v>
      </c>
      <c r="G189" s="2" t="s">
        <v>93</v>
      </c>
      <c r="H189" s="23"/>
      <c r="I189" s="6"/>
      <c r="J189" s="6"/>
      <c r="K189" s="6"/>
      <c r="L189" s="6"/>
      <c r="M189" s="6"/>
      <c r="N189" s="6"/>
      <c r="O189" s="6"/>
      <c r="P189" s="6"/>
      <c r="Q189" s="6"/>
      <c r="R189" s="6" t="e">
        <f xml:space="preserve"> _xlfn.CONCAT(C_1[[#This Row],[ESCALATE]], "-",C_1[[#This Row],[Row_PM]])</f>
        <v>#VALUE!</v>
      </c>
      <c r="S189" s="6" t="e">
        <f xml:space="preserve"> _xlfn.CONCAT(C_1[[#This Row],[ESCALATE]], "-",C_1[[#This Row],[Notify_PM]])</f>
        <v>#VALUE!</v>
      </c>
      <c r="T189" s="6">
        <f>ROW()</f>
        <v>189</v>
      </c>
      <c r="U189" s="6" t="e">
        <f>IF(C_1[[#This Row],[OWNER NAME 1]] = "", "",
   IF(_xlfn.XLOOKUP(C_1[[#This Row],[OWNER NAME 1]],OWNER_LIST[Owner Name], OWNER_LIST[Email], "") = "", "",
      _xlfn.XLOOKUP(C_1[[#This Row],[OWNER NAME 1]], OWNER_LIST[Owner Name], OWNER_LIST[Email], "")))</f>
        <v>#VALUE!</v>
      </c>
      <c r="V189" s="6" t="e">
        <f>IF(C_1[[#This Row],[OWNER NAME 2]] = "", "",
   IF(_xlfn.XLOOKUP(C_1[[#This Row],[OWNER NAME 2]],OWNER_LIST[Owner Name], OWNER_LIST[Email], "") = "", "",
      _xlfn.XLOOKUP(C_1[[#This Row],[OWNER NAME 2]], OWNER_LIST[Owner Name], OWNER_LIST[Email], "")))</f>
        <v>#VALUE!</v>
      </c>
      <c r="W189" s="6" t="str">
        <f>'Bldg C 12WLOA'!$A$37</f>
        <v>C1</v>
      </c>
      <c r="X189" s="6" t="e">
        <f>IF(AND(NOT(ISBLANK(C_1[[#This Row],[ACTION - INFO]])),C_1[[#This Row],[ACTION - INFO]] &lt;&gt; "ACTION - INFO"),"Y","N")</f>
        <v>#VALUE!</v>
      </c>
    </row>
    <row r="190" spans="1:24" ht="60">
      <c r="A190" s="19" t="s">
        <v>152</v>
      </c>
      <c r="B190" s="19" t="s">
        <v>1126</v>
      </c>
      <c r="C190" s="19"/>
      <c r="D190" s="19" t="s">
        <v>74</v>
      </c>
      <c r="E190" s="19" t="s">
        <v>1127</v>
      </c>
      <c r="F190" s="19"/>
      <c r="G190" s="2" t="s">
        <v>90</v>
      </c>
      <c r="H190" s="23"/>
      <c r="I190" s="6"/>
      <c r="J190" s="6"/>
      <c r="K190" s="6"/>
      <c r="L190" s="6"/>
      <c r="M190" s="6"/>
      <c r="N190" s="6"/>
      <c r="O190" s="6"/>
      <c r="P190" s="6"/>
      <c r="Q190" s="6"/>
      <c r="R190" s="6" t="e">
        <f xml:space="preserve"> _xlfn.CONCAT(C_1[[#This Row],[ESCALATE]], "-",C_1[[#This Row],[Row_PM]])</f>
        <v>#VALUE!</v>
      </c>
      <c r="S190" s="6" t="e">
        <f xml:space="preserve"> _xlfn.CONCAT(C_1[[#This Row],[ESCALATE]], "-",C_1[[#This Row],[Notify_PM]])</f>
        <v>#VALUE!</v>
      </c>
      <c r="T190" s="6">
        <f>ROW()</f>
        <v>190</v>
      </c>
      <c r="U190" s="6" t="e">
        <f>IF(C_1[[#This Row],[OWNER NAME 1]] = "", "",
   IF(_xlfn.XLOOKUP(C_1[[#This Row],[OWNER NAME 1]],OWNER_LIST[Owner Name], OWNER_LIST[Email], "") = "", "",
      _xlfn.XLOOKUP(C_1[[#This Row],[OWNER NAME 1]], OWNER_LIST[Owner Name], OWNER_LIST[Email], "")))</f>
        <v>#VALUE!</v>
      </c>
      <c r="V190" s="6" t="e">
        <f>IF(C_1[[#This Row],[OWNER NAME 2]] = "", "",
   IF(_xlfn.XLOOKUP(C_1[[#This Row],[OWNER NAME 2]],OWNER_LIST[Owner Name], OWNER_LIST[Email], "") = "", "",
      _xlfn.XLOOKUP(C_1[[#This Row],[OWNER NAME 2]], OWNER_LIST[Owner Name], OWNER_LIST[Email], "")))</f>
        <v>#VALUE!</v>
      </c>
      <c r="W190" s="6" t="str">
        <f>'Bldg C 12WLOA'!$A$37</f>
        <v>C1</v>
      </c>
      <c r="X190" s="6" t="e">
        <f>IF(AND(NOT(ISBLANK(C_1[[#This Row],[ACTION - INFO]])),C_1[[#This Row],[ACTION - INFO]] &lt;&gt; "ACTION - INFO"),"Y","N")</f>
        <v>#VALUE!</v>
      </c>
    </row>
    <row r="191" spans="1:24" ht="60">
      <c r="A191" s="19" t="s">
        <v>218</v>
      </c>
      <c r="B191" s="19" t="s">
        <v>982</v>
      </c>
      <c r="C191" s="19"/>
      <c r="D191" s="19" t="s">
        <v>74</v>
      </c>
      <c r="E191" s="19" t="s">
        <v>1128</v>
      </c>
      <c r="F191" s="19" t="s">
        <v>1129</v>
      </c>
      <c r="G191" s="2" t="s">
        <v>90</v>
      </c>
      <c r="H191" s="23"/>
      <c r="I191" s="6"/>
      <c r="J191" s="6"/>
      <c r="K191" s="6"/>
      <c r="L191" s="6"/>
      <c r="M191" s="6"/>
      <c r="N191" s="6"/>
      <c r="O191" s="6"/>
      <c r="P191" s="6"/>
      <c r="Q191" s="6"/>
      <c r="R191" s="6" t="e">
        <f xml:space="preserve"> _xlfn.CONCAT(C_1[[#This Row],[ESCALATE]], "-",C_1[[#This Row],[Row_PM]])</f>
        <v>#VALUE!</v>
      </c>
      <c r="S191" s="6" t="e">
        <f xml:space="preserve"> _xlfn.CONCAT(C_1[[#This Row],[ESCALATE]], "-",C_1[[#This Row],[Notify_PM]])</f>
        <v>#VALUE!</v>
      </c>
      <c r="T191" s="6">
        <f>ROW()</f>
        <v>191</v>
      </c>
      <c r="U191" s="6" t="e">
        <f>IF(C_1[[#This Row],[OWNER NAME 1]] = "", "",
   IF(_xlfn.XLOOKUP(C_1[[#This Row],[OWNER NAME 1]],OWNER_LIST[Owner Name], OWNER_LIST[Email], "") = "", "",
      _xlfn.XLOOKUP(C_1[[#This Row],[OWNER NAME 1]], OWNER_LIST[Owner Name], OWNER_LIST[Email], "")))</f>
        <v>#VALUE!</v>
      </c>
      <c r="V191" s="6" t="e">
        <f>IF(C_1[[#This Row],[OWNER NAME 2]] = "", "",
   IF(_xlfn.XLOOKUP(C_1[[#This Row],[OWNER NAME 2]],OWNER_LIST[Owner Name], OWNER_LIST[Email], "") = "", "",
      _xlfn.XLOOKUP(C_1[[#This Row],[OWNER NAME 2]], OWNER_LIST[Owner Name], OWNER_LIST[Email], "")))</f>
        <v>#VALUE!</v>
      </c>
      <c r="W191" s="6" t="str">
        <f>'Bldg C 12WLOA'!$A$37</f>
        <v>C1</v>
      </c>
      <c r="X191" s="6" t="e">
        <f>IF(AND(NOT(ISBLANK(C_1[[#This Row],[ACTION - INFO]])),C_1[[#This Row],[ACTION - INFO]] &lt;&gt; "ACTION - INFO"),"Y","N")</f>
        <v>#VALUE!</v>
      </c>
    </row>
    <row r="192" spans="1:24" ht="142.5">
      <c r="A192" s="19" t="s">
        <v>218</v>
      </c>
      <c r="B192" s="19" t="s">
        <v>1130</v>
      </c>
      <c r="C192" s="19"/>
      <c r="D192" s="19" t="s">
        <v>74</v>
      </c>
      <c r="E192" s="19" t="s">
        <v>1131</v>
      </c>
      <c r="F192" s="19"/>
      <c r="G192" s="2" t="s">
        <v>85</v>
      </c>
      <c r="H192" s="23"/>
      <c r="I192" s="6"/>
      <c r="J192" s="6"/>
      <c r="K192" s="6"/>
      <c r="L192" s="6"/>
      <c r="M192" s="6"/>
      <c r="N192" s="6"/>
      <c r="O192" s="6"/>
      <c r="P192" s="6"/>
      <c r="Q192" s="6"/>
      <c r="R192" s="6" t="e">
        <f xml:space="preserve"> _xlfn.CONCAT(C_1[[#This Row],[ESCALATE]], "-",C_1[[#This Row],[Row_PM]])</f>
        <v>#VALUE!</v>
      </c>
      <c r="S192" s="6" t="e">
        <f xml:space="preserve"> _xlfn.CONCAT(C_1[[#This Row],[ESCALATE]], "-",C_1[[#This Row],[Notify_PM]])</f>
        <v>#VALUE!</v>
      </c>
      <c r="T192" s="6">
        <f>ROW()</f>
        <v>192</v>
      </c>
      <c r="U192" s="6" t="e">
        <f>IF(C_1[[#This Row],[OWNER NAME 1]] = "", "",
   IF(_xlfn.XLOOKUP(C_1[[#This Row],[OWNER NAME 1]],OWNER_LIST[Owner Name], OWNER_LIST[Email], "") = "", "",
      _xlfn.XLOOKUP(C_1[[#This Row],[OWNER NAME 1]], OWNER_LIST[Owner Name], OWNER_LIST[Email], "")))</f>
        <v>#VALUE!</v>
      </c>
      <c r="V192" s="6" t="e">
        <f>IF(C_1[[#This Row],[OWNER NAME 2]] = "", "",
   IF(_xlfn.XLOOKUP(C_1[[#This Row],[OWNER NAME 2]],OWNER_LIST[Owner Name], OWNER_LIST[Email], "") = "", "",
      _xlfn.XLOOKUP(C_1[[#This Row],[OWNER NAME 2]], OWNER_LIST[Owner Name], OWNER_LIST[Email], "")))</f>
        <v>#VALUE!</v>
      </c>
      <c r="W192" s="6" t="str">
        <f>'Bldg C 12WLOA'!$A$37</f>
        <v>C1</v>
      </c>
      <c r="X192" s="6" t="e">
        <f>IF(AND(NOT(ISBLANK(C_1[[#This Row],[ACTION - INFO]])),C_1[[#This Row],[ACTION - INFO]] &lt;&gt; "ACTION - INFO"),"Y","N")</f>
        <v>#VALUE!</v>
      </c>
    </row>
    <row r="193" spans="1:26" ht="36">
      <c r="A193" s="19" t="s">
        <v>218</v>
      </c>
      <c r="B193" s="19" t="s">
        <v>1132</v>
      </c>
      <c r="C193" s="19"/>
      <c r="D193" s="19" t="s">
        <v>74</v>
      </c>
      <c r="E193" s="19" t="s">
        <v>1133</v>
      </c>
      <c r="F193" s="19"/>
      <c r="G193" s="2" t="s">
        <v>85</v>
      </c>
      <c r="H193" s="23"/>
      <c r="I193" s="6"/>
      <c r="J193" s="6"/>
      <c r="K193" s="6"/>
      <c r="L193" s="6"/>
      <c r="M193" s="6"/>
      <c r="N193" s="6"/>
      <c r="O193" s="6"/>
      <c r="P193" s="6"/>
      <c r="Q193" s="6"/>
      <c r="R193" s="6" t="e">
        <f xml:space="preserve"> _xlfn.CONCAT(C_1[[#This Row],[ESCALATE]], "-",C_1[[#This Row],[Row_PM]])</f>
        <v>#VALUE!</v>
      </c>
      <c r="S193" s="6" t="e">
        <f xml:space="preserve"> _xlfn.CONCAT(C_1[[#This Row],[ESCALATE]], "-",C_1[[#This Row],[Notify_PM]])</f>
        <v>#VALUE!</v>
      </c>
      <c r="T193" s="6">
        <f>ROW()</f>
        <v>193</v>
      </c>
      <c r="U193" s="6" t="e">
        <f>IF(C_1[[#This Row],[OWNER NAME 1]] = "", "",
   IF(_xlfn.XLOOKUP(C_1[[#This Row],[OWNER NAME 1]],OWNER_LIST[Owner Name], OWNER_LIST[Email], "") = "", "",
      _xlfn.XLOOKUP(C_1[[#This Row],[OWNER NAME 1]], OWNER_LIST[Owner Name], OWNER_LIST[Email], "")))</f>
        <v>#VALUE!</v>
      </c>
      <c r="V193" s="6" t="e">
        <f>IF(C_1[[#This Row],[OWNER NAME 2]] = "", "",
   IF(_xlfn.XLOOKUP(C_1[[#This Row],[OWNER NAME 2]],OWNER_LIST[Owner Name], OWNER_LIST[Email], "") = "", "",
      _xlfn.XLOOKUP(C_1[[#This Row],[OWNER NAME 2]], OWNER_LIST[Owner Name], OWNER_LIST[Email], "")))</f>
        <v>#VALUE!</v>
      </c>
      <c r="W193" s="6" t="str">
        <f>'Bldg C 12WLOA'!$A$37</f>
        <v>C1</v>
      </c>
      <c r="X193" s="6" t="e">
        <f>IF(AND(NOT(ISBLANK(C_1[[#This Row],[ACTION - INFO]])),C_1[[#This Row],[ACTION - INFO]] &lt;&gt; "ACTION - INFO"),"Y","N")</f>
        <v>#VALUE!</v>
      </c>
    </row>
    <row r="194" spans="1:26" ht="72">
      <c r="A194" s="19" t="s">
        <v>218</v>
      </c>
      <c r="B194" s="19" t="s">
        <v>1134</v>
      </c>
      <c r="C194" s="19"/>
      <c r="D194" s="19" t="s">
        <v>74</v>
      </c>
      <c r="E194" s="19" t="s">
        <v>1135</v>
      </c>
      <c r="F194" s="19"/>
      <c r="G194" s="2" t="s">
        <v>85</v>
      </c>
      <c r="H194" s="23"/>
      <c r="I194" s="6"/>
      <c r="J194" s="6"/>
      <c r="K194" s="6"/>
      <c r="L194" s="6"/>
      <c r="M194" s="6"/>
      <c r="N194" s="6"/>
      <c r="O194" s="6"/>
      <c r="P194" s="6"/>
      <c r="Q194" s="6"/>
      <c r="R194" s="6" t="e">
        <f xml:space="preserve"> _xlfn.CONCAT(C_1[[#This Row],[ESCALATE]], "-",C_1[[#This Row],[Row_PM]])</f>
        <v>#VALUE!</v>
      </c>
      <c r="S194" s="6" t="e">
        <f xml:space="preserve"> _xlfn.CONCAT(C_1[[#This Row],[ESCALATE]], "-",C_1[[#This Row],[Notify_PM]])</f>
        <v>#VALUE!</v>
      </c>
      <c r="T194" s="6">
        <f>ROW()</f>
        <v>194</v>
      </c>
      <c r="U194" s="6" t="e">
        <f>IF(C_1[[#This Row],[OWNER NAME 1]] = "", "",
   IF(_xlfn.XLOOKUP(C_1[[#This Row],[OWNER NAME 1]],OWNER_LIST[Owner Name], OWNER_LIST[Email], "") = "", "",
      _xlfn.XLOOKUP(C_1[[#This Row],[OWNER NAME 1]], OWNER_LIST[Owner Name], OWNER_LIST[Email], "")))</f>
        <v>#VALUE!</v>
      </c>
      <c r="V194" s="6" t="e">
        <f>IF(C_1[[#This Row],[OWNER NAME 2]] = "", "",
   IF(_xlfn.XLOOKUP(C_1[[#This Row],[OWNER NAME 2]],OWNER_LIST[Owner Name], OWNER_LIST[Email], "") = "", "",
      _xlfn.XLOOKUP(C_1[[#This Row],[OWNER NAME 2]], OWNER_LIST[Owner Name], OWNER_LIST[Email], "")))</f>
        <v>#VALUE!</v>
      </c>
      <c r="W194" s="6" t="str">
        <f>'Bldg C 12WLOA'!$A$37</f>
        <v>C1</v>
      </c>
      <c r="X194" s="6" t="e">
        <f>IF(AND(NOT(ISBLANK(C_1[[#This Row],[ACTION - INFO]])),C_1[[#This Row],[ACTION - INFO]] &lt;&gt; "ACTION - INFO"),"Y","N")</f>
        <v>#VALUE!</v>
      </c>
      <c r="Y194" s="208"/>
      <c r="Z194" s="208"/>
    </row>
    <row r="195" spans="1:26" ht="36">
      <c r="A195" s="19" t="s">
        <v>218</v>
      </c>
      <c r="B195" s="19" t="s">
        <v>1136</v>
      </c>
      <c r="C195" s="19"/>
      <c r="D195" s="19" t="s">
        <v>74</v>
      </c>
      <c r="E195" s="19" t="s">
        <v>1137</v>
      </c>
      <c r="F195" s="19"/>
      <c r="G195" s="2" t="s">
        <v>93</v>
      </c>
      <c r="H195" s="23"/>
      <c r="I195" s="6"/>
      <c r="J195" s="6"/>
      <c r="K195" s="6"/>
      <c r="L195" s="6"/>
      <c r="M195" s="6"/>
      <c r="N195" s="6"/>
      <c r="O195" s="6"/>
      <c r="P195" s="6"/>
      <c r="Q195" s="6"/>
      <c r="R195" s="6" t="e">
        <f xml:space="preserve"> _xlfn.CONCAT(C_1[[#This Row],[ESCALATE]], "-",C_1[[#This Row],[Row_PM]])</f>
        <v>#VALUE!</v>
      </c>
      <c r="S195" s="6" t="e">
        <f xml:space="preserve"> _xlfn.CONCAT(C_1[[#This Row],[ESCALATE]], "-",C_1[[#This Row],[Notify_PM]])</f>
        <v>#VALUE!</v>
      </c>
      <c r="T195" s="6">
        <f>ROW()</f>
        <v>195</v>
      </c>
      <c r="U195" s="6" t="e">
        <f>IF(C_1[[#This Row],[OWNER NAME 1]] = "", "",
   IF(_xlfn.XLOOKUP(C_1[[#This Row],[OWNER NAME 1]],OWNER_LIST[Owner Name], OWNER_LIST[Email], "") = "", "",
      _xlfn.XLOOKUP(C_1[[#This Row],[OWNER NAME 1]], OWNER_LIST[Owner Name], OWNER_LIST[Email], "")))</f>
        <v>#VALUE!</v>
      </c>
      <c r="V195" s="6" t="e">
        <f>IF(C_1[[#This Row],[OWNER NAME 2]] = "", "",
   IF(_xlfn.XLOOKUP(C_1[[#This Row],[OWNER NAME 2]],OWNER_LIST[Owner Name], OWNER_LIST[Email], "") = "", "",
      _xlfn.XLOOKUP(C_1[[#This Row],[OWNER NAME 2]], OWNER_LIST[Owner Name], OWNER_LIST[Email], "")))</f>
        <v>#VALUE!</v>
      </c>
      <c r="W195" s="6" t="str">
        <f>'Bldg C 12WLOA'!$A$37</f>
        <v>C1</v>
      </c>
      <c r="X195" s="6" t="e">
        <f>IF(AND(NOT(ISBLANK(C_1[[#This Row],[ACTION - INFO]])),C_1[[#This Row],[ACTION - INFO]] &lt;&gt; "ACTION - INFO"),"Y","N")</f>
        <v>#VALUE!</v>
      </c>
      <c r="Y195" s="208"/>
      <c r="Z195" s="208"/>
    </row>
    <row r="196" spans="1:26" ht="36">
      <c r="A196" s="19" t="s">
        <v>218</v>
      </c>
      <c r="B196" s="19" t="s">
        <v>1138</v>
      </c>
      <c r="C196" s="19"/>
      <c r="D196" s="19" t="s">
        <v>74</v>
      </c>
      <c r="E196" s="19" t="s">
        <v>1139</v>
      </c>
      <c r="F196" s="19"/>
      <c r="G196" s="2" t="s">
        <v>93</v>
      </c>
      <c r="H196" s="23"/>
      <c r="I196" s="6"/>
      <c r="J196" s="6"/>
      <c r="K196" s="6"/>
      <c r="L196" s="6"/>
      <c r="M196" s="6"/>
      <c r="N196" s="6"/>
      <c r="O196" s="6"/>
      <c r="P196" s="6"/>
      <c r="Q196" s="6"/>
      <c r="R196" s="6" t="e">
        <f xml:space="preserve"> _xlfn.CONCAT(C_1[[#This Row],[ESCALATE]], "-",C_1[[#This Row],[Row_PM]])</f>
        <v>#VALUE!</v>
      </c>
      <c r="S196" s="6" t="e">
        <f xml:space="preserve"> _xlfn.CONCAT(C_1[[#This Row],[ESCALATE]], "-",C_1[[#This Row],[Notify_PM]])</f>
        <v>#VALUE!</v>
      </c>
      <c r="T196" s="6">
        <f>ROW()</f>
        <v>196</v>
      </c>
      <c r="U196" s="6" t="e">
        <f>IF(C_1[[#This Row],[OWNER NAME 1]] = "", "",
   IF(_xlfn.XLOOKUP(C_1[[#This Row],[OWNER NAME 1]],OWNER_LIST[Owner Name], OWNER_LIST[Email], "") = "", "",
      _xlfn.XLOOKUP(C_1[[#This Row],[OWNER NAME 1]], OWNER_LIST[Owner Name], OWNER_LIST[Email], "")))</f>
        <v>#VALUE!</v>
      </c>
      <c r="V196" s="6" t="e">
        <f>IF(C_1[[#This Row],[OWNER NAME 2]] = "", "",
   IF(_xlfn.XLOOKUP(C_1[[#This Row],[OWNER NAME 2]],OWNER_LIST[Owner Name], OWNER_LIST[Email], "") = "", "",
      _xlfn.XLOOKUP(C_1[[#This Row],[OWNER NAME 2]], OWNER_LIST[Owner Name], OWNER_LIST[Email], "")))</f>
        <v>#VALUE!</v>
      </c>
      <c r="W196" s="6" t="str">
        <f>'Bldg C 12WLOA'!$A$37</f>
        <v>C1</v>
      </c>
      <c r="X196" s="6" t="e">
        <f>IF(AND(NOT(ISBLANK(C_1[[#This Row],[ACTION - INFO]])),C_1[[#This Row],[ACTION - INFO]] &lt;&gt; "ACTION - INFO"),"Y","N")</f>
        <v>#VALUE!</v>
      </c>
    </row>
    <row r="197" spans="1:26" ht="24">
      <c r="A197" s="19" t="s">
        <v>218</v>
      </c>
      <c r="B197" s="19" t="s">
        <v>1140</v>
      </c>
      <c r="C197" s="19"/>
      <c r="D197" s="19" t="s">
        <v>74</v>
      </c>
      <c r="E197" s="19" t="s">
        <v>1141</v>
      </c>
      <c r="F197" s="19"/>
      <c r="G197" s="2" t="s">
        <v>90</v>
      </c>
      <c r="H197" s="23"/>
      <c r="I197" s="6"/>
      <c r="J197" s="6"/>
      <c r="K197" s="6"/>
      <c r="L197" s="6"/>
      <c r="M197" s="6"/>
      <c r="N197" s="6"/>
      <c r="O197" s="6"/>
      <c r="P197" s="6"/>
      <c r="Q197" s="6"/>
      <c r="R197" s="6" t="e">
        <f xml:space="preserve"> _xlfn.CONCAT(C_1[[#This Row],[ESCALATE]], "-",C_1[[#This Row],[Row_PM]])</f>
        <v>#VALUE!</v>
      </c>
      <c r="S197" s="6" t="e">
        <f xml:space="preserve"> _xlfn.CONCAT(C_1[[#This Row],[ESCALATE]], "-",C_1[[#This Row],[Notify_PM]])</f>
        <v>#VALUE!</v>
      </c>
      <c r="T197" s="6">
        <f>ROW()</f>
        <v>197</v>
      </c>
      <c r="U197" s="6" t="e">
        <f>IF(C_1[[#This Row],[OWNER NAME 1]] = "", "",
   IF(_xlfn.XLOOKUP(C_1[[#This Row],[OWNER NAME 1]],OWNER_LIST[Owner Name], OWNER_LIST[Email], "") = "", "",
      _xlfn.XLOOKUP(C_1[[#This Row],[OWNER NAME 1]], OWNER_LIST[Owner Name], OWNER_LIST[Email], "")))</f>
        <v>#VALUE!</v>
      </c>
      <c r="V197" s="6" t="e">
        <f>IF(C_1[[#This Row],[OWNER NAME 2]] = "", "",
   IF(_xlfn.XLOOKUP(C_1[[#This Row],[OWNER NAME 2]],OWNER_LIST[Owner Name], OWNER_LIST[Email], "") = "", "",
      _xlfn.XLOOKUP(C_1[[#This Row],[OWNER NAME 2]], OWNER_LIST[Owner Name], OWNER_LIST[Email], "")))</f>
        <v>#VALUE!</v>
      </c>
      <c r="W197" s="6" t="str">
        <f>'Bldg C 12WLOA'!$A$37</f>
        <v>C1</v>
      </c>
      <c r="X197" s="6" t="e">
        <f>IF(AND(NOT(ISBLANK(C_1[[#This Row],[ACTION - INFO]])),C_1[[#This Row],[ACTION - INFO]] &lt;&gt; "ACTION - INFO"),"Y","N")</f>
        <v>#VALUE!</v>
      </c>
    </row>
    <row r="198" spans="1:26" ht="60">
      <c r="A198" s="19" t="s">
        <v>218</v>
      </c>
      <c r="B198" s="19" t="s">
        <v>1142</v>
      </c>
      <c r="C198" s="19"/>
      <c r="D198" s="19" t="s">
        <v>74</v>
      </c>
      <c r="E198" s="19" t="s">
        <v>1143</v>
      </c>
      <c r="F198" s="19"/>
      <c r="G198" s="2" t="s">
        <v>90</v>
      </c>
      <c r="H198" s="23"/>
      <c r="I198" s="6"/>
      <c r="J198" s="6"/>
      <c r="K198" s="6"/>
      <c r="L198" s="6"/>
      <c r="M198" s="6"/>
      <c r="N198" s="6"/>
      <c r="O198" s="6"/>
      <c r="P198" s="6"/>
      <c r="Q198" s="6"/>
      <c r="R198" s="6" t="e">
        <f xml:space="preserve"> _xlfn.CONCAT(C_1[[#This Row],[ESCALATE]], "-",C_1[[#This Row],[Row_PM]])</f>
        <v>#VALUE!</v>
      </c>
      <c r="S198" s="6" t="e">
        <f xml:space="preserve"> _xlfn.CONCAT(C_1[[#This Row],[ESCALATE]], "-",C_1[[#This Row],[Notify_PM]])</f>
        <v>#VALUE!</v>
      </c>
      <c r="T198" s="6">
        <f>ROW()</f>
        <v>198</v>
      </c>
      <c r="U198" s="6" t="e">
        <f>IF(C_1[[#This Row],[OWNER NAME 1]] = "", "",
   IF(_xlfn.XLOOKUP(C_1[[#This Row],[OWNER NAME 1]],OWNER_LIST[Owner Name], OWNER_LIST[Email], "") = "", "",
      _xlfn.XLOOKUP(C_1[[#This Row],[OWNER NAME 1]], OWNER_LIST[Owner Name], OWNER_LIST[Email], "")))</f>
        <v>#VALUE!</v>
      </c>
      <c r="V198" s="6" t="e">
        <f>IF(C_1[[#This Row],[OWNER NAME 2]] = "", "",
   IF(_xlfn.XLOOKUP(C_1[[#This Row],[OWNER NAME 2]],OWNER_LIST[Owner Name], OWNER_LIST[Email], "") = "", "",
      _xlfn.XLOOKUP(C_1[[#This Row],[OWNER NAME 2]], OWNER_LIST[Owner Name], OWNER_LIST[Email], "")))</f>
        <v>#VALUE!</v>
      </c>
      <c r="W198" s="6" t="str">
        <f>'Bldg C 12WLOA'!$A$37</f>
        <v>C1</v>
      </c>
      <c r="X198" s="6" t="e">
        <f>IF(AND(NOT(ISBLANK(C_1[[#This Row],[ACTION - INFO]])),C_1[[#This Row],[ACTION - INFO]] &lt;&gt; "ACTION - INFO"),"Y","N")</f>
        <v>#VALUE!</v>
      </c>
    </row>
    <row r="199" spans="1:26" ht="36">
      <c r="A199" s="19" t="s">
        <v>269</v>
      </c>
      <c r="B199" s="19" t="s">
        <v>1144</v>
      </c>
      <c r="C199" s="19"/>
      <c r="D199" s="19" t="s">
        <v>74</v>
      </c>
      <c r="E199" s="19" t="s">
        <v>1145</v>
      </c>
      <c r="F199" s="19"/>
      <c r="G199" s="2" t="s">
        <v>90</v>
      </c>
      <c r="H199" s="23"/>
      <c r="I199" s="6"/>
      <c r="J199" s="6"/>
      <c r="K199" s="6"/>
      <c r="L199" s="6"/>
      <c r="M199" s="6"/>
      <c r="N199" s="6"/>
      <c r="O199" s="6"/>
      <c r="P199" s="6"/>
      <c r="Q199" s="6"/>
      <c r="R199" s="6" t="e">
        <f xml:space="preserve"> _xlfn.CONCAT(C_1[[#This Row],[ESCALATE]], "-",C_1[[#This Row],[Row_PM]])</f>
        <v>#VALUE!</v>
      </c>
      <c r="S199" s="6" t="e">
        <f xml:space="preserve"> _xlfn.CONCAT(C_1[[#This Row],[ESCALATE]], "-",C_1[[#This Row],[Notify_PM]])</f>
        <v>#VALUE!</v>
      </c>
      <c r="T199" s="6">
        <f>ROW()</f>
        <v>199</v>
      </c>
      <c r="U199" s="6" t="e">
        <f>IF(C_1[[#This Row],[OWNER NAME 1]] = "", "",
   IF(_xlfn.XLOOKUP(C_1[[#This Row],[OWNER NAME 1]],OWNER_LIST[Owner Name], OWNER_LIST[Email], "") = "", "",
      _xlfn.XLOOKUP(C_1[[#This Row],[OWNER NAME 1]], OWNER_LIST[Owner Name], OWNER_LIST[Email], "")))</f>
        <v>#VALUE!</v>
      </c>
      <c r="V199" s="6" t="e">
        <f>IF(C_1[[#This Row],[OWNER NAME 2]] = "", "",
   IF(_xlfn.XLOOKUP(C_1[[#This Row],[OWNER NAME 2]],OWNER_LIST[Owner Name], OWNER_LIST[Email], "") = "", "",
      _xlfn.XLOOKUP(C_1[[#This Row],[OWNER NAME 2]], OWNER_LIST[Owner Name], OWNER_LIST[Email], "")))</f>
        <v>#VALUE!</v>
      </c>
      <c r="W199" s="6" t="str">
        <f>'Bldg C 12WLOA'!$A$37</f>
        <v>C1</v>
      </c>
      <c r="X199" s="6" t="e">
        <f>IF(AND(NOT(ISBLANK(C_1[[#This Row],[ACTION - INFO]])),C_1[[#This Row],[ACTION - INFO]] &lt;&gt; "ACTION - INFO"),"Y","N")</f>
        <v>#VALUE!</v>
      </c>
      <c r="Y199" s="208"/>
      <c r="Z199" s="208"/>
    </row>
    <row r="200" spans="1:26" ht="48">
      <c r="A200" s="19"/>
      <c r="B200" s="19" t="s">
        <v>1146</v>
      </c>
      <c r="C200" s="19"/>
      <c r="D200" s="19" t="s">
        <v>74</v>
      </c>
      <c r="E200" s="19"/>
      <c r="F200" s="19" t="s">
        <v>1147</v>
      </c>
      <c r="G200" s="2" t="s">
        <v>93</v>
      </c>
      <c r="H200" s="23"/>
      <c r="I200" s="6"/>
      <c r="J200" s="6"/>
      <c r="K200" s="6"/>
      <c r="L200" s="6"/>
      <c r="M200" s="6"/>
      <c r="N200" s="6"/>
      <c r="O200" s="6"/>
      <c r="P200" s="6"/>
      <c r="Q200" s="6"/>
      <c r="R200" s="6" t="e">
        <f xml:space="preserve"> _xlfn.CONCAT(C_1[[#This Row],[ESCALATE]], "-",C_1[[#This Row],[Row_PM]])</f>
        <v>#VALUE!</v>
      </c>
      <c r="S200" s="6" t="e">
        <f xml:space="preserve"> _xlfn.CONCAT(C_1[[#This Row],[ESCALATE]], "-",C_1[[#This Row],[Notify_PM]])</f>
        <v>#VALUE!</v>
      </c>
      <c r="T200" s="6">
        <f>ROW()</f>
        <v>200</v>
      </c>
      <c r="U200" s="6" t="e">
        <f>IF(C_1[[#This Row],[OWNER NAME 1]] = "", "",
   IF(_xlfn.XLOOKUP(C_1[[#This Row],[OWNER NAME 1]],OWNER_LIST[Owner Name], OWNER_LIST[Email], "") = "", "",
      _xlfn.XLOOKUP(C_1[[#This Row],[OWNER NAME 1]], OWNER_LIST[Owner Name], OWNER_LIST[Email], "")))</f>
        <v>#VALUE!</v>
      </c>
      <c r="V200" s="6" t="e">
        <f>IF(C_1[[#This Row],[OWNER NAME 2]] = "", "",
   IF(_xlfn.XLOOKUP(C_1[[#This Row],[OWNER NAME 2]],OWNER_LIST[Owner Name], OWNER_LIST[Email], "") = "", "",
      _xlfn.XLOOKUP(C_1[[#This Row],[OWNER NAME 2]], OWNER_LIST[Owner Name], OWNER_LIST[Email], "")))</f>
        <v>#VALUE!</v>
      </c>
      <c r="W200" s="6" t="str">
        <f>'Bldg C 12WLOA'!$A$37</f>
        <v>C1</v>
      </c>
      <c r="X200" s="6" t="e">
        <f>IF(AND(NOT(ISBLANK(C_1[[#This Row],[ACTION - INFO]])),C_1[[#This Row],[ACTION - INFO]] &lt;&gt; "ACTION - INFO"),"Y","N")</f>
        <v>#VALUE!</v>
      </c>
      <c r="Y200" s="208"/>
      <c r="Z200" s="208"/>
    </row>
    <row r="201" spans="1:26" ht="96">
      <c r="A201" s="19" t="s">
        <v>1148</v>
      </c>
      <c r="B201" s="19" t="s">
        <v>1149</v>
      </c>
      <c r="C201" s="19"/>
      <c r="D201" s="19" t="s">
        <v>74</v>
      </c>
      <c r="E201" s="19" t="s">
        <v>1150</v>
      </c>
      <c r="F201" s="19" t="s">
        <v>1151</v>
      </c>
      <c r="G201" s="2" t="s">
        <v>93</v>
      </c>
      <c r="H201" s="23"/>
      <c r="I201" s="6"/>
      <c r="J201" s="6"/>
      <c r="K201" s="6"/>
      <c r="L201" s="6"/>
      <c r="M201" s="6"/>
      <c r="N201" s="6"/>
      <c r="O201" s="6"/>
      <c r="P201" s="6"/>
      <c r="Q201" s="6"/>
      <c r="R201" s="6" t="e">
        <f xml:space="preserve"> _xlfn.CONCAT(C_1[[#This Row],[ESCALATE]], "-",C_1[[#This Row],[Row_PM]])</f>
        <v>#VALUE!</v>
      </c>
      <c r="S201" s="6" t="e">
        <f xml:space="preserve"> _xlfn.CONCAT(C_1[[#This Row],[ESCALATE]], "-",C_1[[#This Row],[Notify_PM]])</f>
        <v>#VALUE!</v>
      </c>
      <c r="T201" s="6">
        <f>ROW()</f>
        <v>201</v>
      </c>
      <c r="U201" s="6" t="e">
        <f>IF(C_1[[#This Row],[OWNER NAME 1]] = "", "",
   IF(_xlfn.XLOOKUP(C_1[[#This Row],[OWNER NAME 1]],OWNER_LIST[Owner Name], OWNER_LIST[Email], "") = "", "",
      _xlfn.XLOOKUP(C_1[[#This Row],[OWNER NAME 1]], OWNER_LIST[Owner Name], OWNER_LIST[Email], "")))</f>
        <v>#VALUE!</v>
      </c>
      <c r="V201" s="6" t="e">
        <f>IF(C_1[[#This Row],[OWNER NAME 2]] = "", "",
   IF(_xlfn.XLOOKUP(C_1[[#This Row],[OWNER NAME 2]],OWNER_LIST[Owner Name], OWNER_LIST[Email], "") = "", "",
      _xlfn.XLOOKUP(C_1[[#This Row],[OWNER NAME 2]], OWNER_LIST[Owner Name], OWNER_LIST[Email], "")))</f>
        <v>#VALUE!</v>
      </c>
      <c r="W201" s="6" t="str">
        <f>'Bldg C 12WLOA'!$A$37</f>
        <v>C1</v>
      </c>
      <c r="X201" s="6" t="e">
        <f>IF(AND(NOT(ISBLANK(C_1[[#This Row],[ACTION - INFO]])),C_1[[#This Row],[ACTION - INFO]] &lt;&gt; "ACTION - INFO"),"Y","N")</f>
        <v>#VALUE!</v>
      </c>
      <c r="Y201" s="208"/>
      <c r="Z201" s="208"/>
    </row>
    <row r="202" spans="1:26" ht="36">
      <c r="A202" s="19" t="s">
        <v>1152</v>
      </c>
      <c r="B202" s="19" t="s">
        <v>1153</v>
      </c>
      <c r="C202" s="19"/>
      <c r="D202" s="19" t="s">
        <v>74</v>
      </c>
      <c r="E202" s="19" t="s">
        <v>1154</v>
      </c>
      <c r="F202" s="19" t="s">
        <v>1155</v>
      </c>
      <c r="G202" s="2" t="s">
        <v>85</v>
      </c>
      <c r="H202" s="23"/>
      <c r="I202" s="6"/>
      <c r="J202" s="6"/>
      <c r="K202" s="6"/>
      <c r="L202" s="6"/>
      <c r="M202" s="6"/>
      <c r="N202" s="6"/>
      <c r="O202" s="6"/>
      <c r="P202" s="6"/>
      <c r="Q202" s="6"/>
      <c r="R202" s="6" t="e">
        <f xml:space="preserve"> _xlfn.CONCAT(C_1[[#This Row],[ESCALATE]], "-",C_1[[#This Row],[Row_PM]])</f>
        <v>#VALUE!</v>
      </c>
      <c r="S202" s="6" t="e">
        <f xml:space="preserve"> _xlfn.CONCAT(C_1[[#This Row],[ESCALATE]], "-",C_1[[#This Row],[Notify_PM]])</f>
        <v>#VALUE!</v>
      </c>
      <c r="T202" s="6">
        <f>ROW()</f>
        <v>202</v>
      </c>
      <c r="U202" s="6" t="e">
        <f>IF(C_1[[#This Row],[OWNER NAME 1]] = "", "",
   IF(_xlfn.XLOOKUP(C_1[[#This Row],[OWNER NAME 1]],OWNER_LIST[Owner Name], OWNER_LIST[Email], "") = "", "",
      _xlfn.XLOOKUP(C_1[[#This Row],[OWNER NAME 1]], OWNER_LIST[Owner Name], OWNER_LIST[Email], "")))</f>
        <v>#VALUE!</v>
      </c>
      <c r="V202" s="6" t="e">
        <f>IF(C_1[[#This Row],[OWNER NAME 2]] = "", "",
   IF(_xlfn.XLOOKUP(C_1[[#This Row],[OWNER NAME 2]],OWNER_LIST[Owner Name], OWNER_LIST[Email], "") = "", "",
      _xlfn.XLOOKUP(C_1[[#This Row],[OWNER NAME 2]], OWNER_LIST[Owner Name], OWNER_LIST[Email], "")))</f>
        <v>#VALUE!</v>
      </c>
      <c r="W202" s="6" t="str">
        <f>'Bldg C 12WLOA'!$A$37</f>
        <v>C1</v>
      </c>
      <c r="X202" s="6" t="e">
        <f>IF(AND(NOT(ISBLANK(C_1[[#This Row],[ACTION - INFO]])),C_1[[#This Row],[ACTION - INFO]] &lt;&gt; "ACTION - INFO"),"Y","N")</f>
        <v>#VALUE!</v>
      </c>
      <c r="Y202" s="208"/>
      <c r="Z202" s="208"/>
    </row>
    <row r="203" spans="1:26" ht="36">
      <c r="A203" s="19" t="s">
        <v>1156</v>
      </c>
      <c r="B203" s="19" t="s">
        <v>1157</v>
      </c>
      <c r="C203" s="19"/>
      <c r="D203" s="19" t="s">
        <v>74</v>
      </c>
      <c r="E203" s="19" t="s">
        <v>1158</v>
      </c>
      <c r="F203" s="19"/>
      <c r="G203" s="2" t="s">
        <v>85</v>
      </c>
      <c r="H203" s="23"/>
      <c r="I203" s="6"/>
      <c r="J203" s="6"/>
      <c r="K203" s="6"/>
      <c r="L203" s="6"/>
      <c r="M203" s="6"/>
      <c r="N203" s="6"/>
      <c r="O203" s="6"/>
      <c r="P203" s="6"/>
      <c r="Q203" s="6"/>
      <c r="R203" s="6" t="e">
        <f xml:space="preserve"> _xlfn.CONCAT(C_1[[#This Row],[ESCALATE]], "-",C_1[[#This Row],[Row_PM]])</f>
        <v>#VALUE!</v>
      </c>
      <c r="S203" s="6" t="e">
        <f xml:space="preserve"> _xlfn.CONCAT(C_1[[#This Row],[ESCALATE]], "-",C_1[[#This Row],[Notify_PM]])</f>
        <v>#VALUE!</v>
      </c>
      <c r="T203" s="6">
        <f>ROW()</f>
        <v>203</v>
      </c>
      <c r="U203" s="6" t="e">
        <f>IF(C_1[[#This Row],[OWNER NAME 1]] = "", "",
   IF(_xlfn.XLOOKUP(C_1[[#This Row],[OWNER NAME 1]],OWNER_LIST[Owner Name], OWNER_LIST[Email], "") = "", "",
      _xlfn.XLOOKUP(C_1[[#This Row],[OWNER NAME 1]], OWNER_LIST[Owner Name], OWNER_LIST[Email], "")))</f>
        <v>#VALUE!</v>
      </c>
      <c r="V203" s="6" t="e">
        <f>IF(C_1[[#This Row],[OWNER NAME 2]] = "", "",
   IF(_xlfn.XLOOKUP(C_1[[#This Row],[OWNER NAME 2]],OWNER_LIST[Owner Name], OWNER_LIST[Email], "") = "", "",
      _xlfn.XLOOKUP(C_1[[#This Row],[OWNER NAME 2]], OWNER_LIST[Owner Name], OWNER_LIST[Email], "")))</f>
        <v>#VALUE!</v>
      </c>
      <c r="W203" s="6" t="str">
        <f>'Bldg C 12WLOA'!$A$37</f>
        <v>C1</v>
      </c>
      <c r="X203" s="6" t="e">
        <f>IF(AND(NOT(ISBLANK(C_1[[#This Row],[ACTION - INFO]])),C_1[[#This Row],[ACTION - INFO]] &lt;&gt; "ACTION - INFO"),"Y","N")</f>
        <v>#VALUE!</v>
      </c>
      <c r="Y203" s="208"/>
      <c r="Z203" s="208"/>
    </row>
    <row r="204" spans="1:26" ht="202.5">
      <c r="A204" s="19" t="s">
        <v>572</v>
      </c>
      <c r="B204" s="19" t="e">
        <f>+INDEX('[1]RENOV_VAR SUMMARY'!$C$13:$C$1000,MATCH('Bldg C 12WLOA'!$A160:$X160,'[1]RENOV_VAR SUMMARY'!$A$13:$A$1000,0))</f>
        <v>#N/A</v>
      </c>
      <c r="C204" s="19"/>
      <c r="D204" s="19" t="s">
        <v>74</v>
      </c>
      <c r="E204" s="19" t="e">
        <f>+INDEX('[1]RENOV_VAR SUMMARY'!$AJ$13:$AJ$1000,MATCH('Bldg C 12WLOA'!$A160:$X160,'[1]RENOV_VAR SUMMARY'!$A$13:$A$1000,0))</f>
        <v>#N/A</v>
      </c>
      <c r="F204" s="19" t="s">
        <v>1159</v>
      </c>
      <c r="G204" s="2" t="e">
        <f>+INDEX('[1]RENOV_VAR SUMMARY'!$U$13:$U$600,MATCH('Bldg C 12WLOA'!$A160:$X160,'[1]RENOV_VAR SUMMARY'!$A$13:$A$600,0))</f>
        <v>#N/A</v>
      </c>
      <c r="H204" s="23"/>
      <c r="I204" s="6"/>
      <c r="J204" s="6"/>
      <c r="K204" s="6"/>
      <c r="L204" s="6"/>
      <c r="M204" s="6"/>
      <c r="N204" s="6"/>
      <c r="O204" s="6"/>
      <c r="P204" s="6"/>
      <c r="Q204" s="6"/>
      <c r="R204" s="6" t="str">
        <f xml:space="preserve"> _xlfn.CONCAT('Bldg C 12WLOA'!$A160:$X160, "-",'Bldg C 12WLOA'!$A160:$X160)</f>
        <v>---160C1N----160C1N</v>
      </c>
      <c r="S204" s="6" t="str">
        <f xml:space="preserve"> _xlfn.CONCAT('Bldg C 12WLOA'!$A160:$X160, "-",'Bldg C 12WLOA'!$A160:$X160)</f>
        <v>---160C1N----160C1N</v>
      </c>
      <c r="T204" s="6">
        <f>ROW()</f>
        <v>204</v>
      </c>
      <c r="U204" s="6" t="str">
        <f>IF('Bldg C 12WLOA'!$A160:$X160 = "", "",
   IF(_xlfn.XLOOKUP('Bldg C 12WLOA'!$A160:$X160,OWNER_LIST[Owner Name],OWNER_LIST[Email], "") = "", "",
      _xlfn.XLOOKUP('Bldg C 12WLOA'!$A160:$X160,OWNER_LIST[Owner Name],OWNER_LIST[Email], "")))</f>
        <v/>
      </c>
      <c r="V204" s="6" t="str">
        <f>IF('Bldg C 12WLOA'!$A160:$X160 = "", "",
   IF(_xlfn.XLOOKUP('Bldg C 12WLOA'!$A160:$X160,OWNER_LIST[Owner Name],OWNER_LIST[Email], "") = "", "",
      _xlfn.XLOOKUP('Bldg C 12WLOA'!$A160:$X160,OWNER_LIST[Owner Name],OWNER_LIST[Email], "")))</f>
        <v/>
      </c>
      <c r="W204" s="6" t="e">
        <f>'Bldg C 12WLOA'!#REF!</f>
        <v>#REF!</v>
      </c>
      <c r="X204" s="6" t="str">
        <f>IF(AND(NOT(ISBLANK('Bldg C 12WLOA'!$A160:$X160)),'Bldg C 12WLOA'!$A160:$X160 &lt;&gt; "ACTION - INFO"),"Y","N")</f>
        <v>Y</v>
      </c>
      <c r="Y204" s="208"/>
      <c r="Z204" s="208"/>
    </row>
    <row r="205" spans="1:26" ht="142.5">
      <c r="A205" s="19" t="s">
        <v>595</v>
      </c>
      <c r="B205" s="19" t="e">
        <f>+INDEX('[1]RENOV_VAR SUMMARY'!$C$13:$C$1000,MATCH('Bldg C 12WLOA'!$A160:$X160,'[1]RENOV_VAR SUMMARY'!$A$13:$A$1000,0))</f>
        <v>#N/A</v>
      </c>
      <c r="C205" s="19" t="s">
        <v>81</v>
      </c>
      <c r="D205" s="19" t="s">
        <v>74</v>
      </c>
      <c r="E205" s="19" t="e">
        <f>+INDEX('[1]RENOV_VAR SUMMARY'!$AJ$13:$AJ$1000,MATCH('Bldg C 12WLOA'!$A160:$X160,'[1]RENOV_VAR SUMMARY'!$A$13:$A$1000,0))</f>
        <v>#N/A</v>
      </c>
      <c r="F205" s="19" t="s">
        <v>1160</v>
      </c>
      <c r="G205" s="2" t="e">
        <f>+INDEX('[1]RENOV_VAR SUMMARY'!$U$13:$U$600,MATCH('Bldg C 12WLOA'!$A160:$X160,'[1]RENOV_VAR SUMMARY'!$A$13:$A$600,0))</f>
        <v>#N/A</v>
      </c>
      <c r="H205" s="23"/>
      <c r="I205" s="6"/>
      <c r="J205" s="6"/>
      <c r="K205" s="6"/>
      <c r="L205" s="6"/>
      <c r="M205" s="6"/>
      <c r="N205" s="6"/>
      <c r="O205" s="6"/>
      <c r="P205" s="6"/>
      <c r="Q205" s="6"/>
      <c r="R205" s="6" t="str">
        <f xml:space="preserve"> _xlfn.CONCAT('Bldg C 12WLOA'!$A160:$X160, "-",'Bldg C 12WLOA'!$A160:$X160)</f>
        <v>---160C1N----160C1N</v>
      </c>
      <c r="S205" s="6" t="str">
        <f xml:space="preserve"> _xlfn.CONCAT('Bldg C 12WLOA'!$A160:$X160, "-",'Bldg C 12WLOA'!$A160:$X160)</f>
        <v>---160C1N----160C1N</v>
      </c>
      <c r="T205" s="6">
        <f>ROW()</f>
        <v>205</v>
      </c>
      <c r="U205" s="6" t="str">
        <f>IF('Bldg C 12WLOA'!$A160:$X160 = "", "",
   IF(_xlfn.XLOOKUP('Bldg C 12WLOA'!$A160:$X160,OWNER_LIST[Owner Name],OWNER_LIST[Email], "") = "", "",
      _xlfn.XLOOKUP('Bldg C 12WLOA'!$A160:$X160,OWNER_LIST[Owner Name],OWNER_LIST[Email], "")))</f>
        <v/>
      </c>
      <c r="V205" s="6" t="str">
        <f>IF('Bldg C 12WLOA'!$A160:$X160 = "", "",
   IF(_xlfn.XLOOKUP('Bldg C 12WLOA'!$A160:$X160,OWNER_LIST[Owner Name],OWNER_LIST[Email], "") = "", "",
      _xlfn.XLOOKUP('Bldg C 12WLOA'!$A160:$X160,OWNER_LIST[Owner Name],OWNER_LIST[Email], "")))</f>
        <v/>
      </c>
      <c r="W205" s="6" t="e">
        <f>'Bldg C 12WLOA'!#REF!</f>
        <v>#REF!</v>
      </c>
      <c r="X205" s="6" t="str">
        <f>IF(AND(NOT(ISBLANK('Bldg C 12WLOA'!$A160:$X160)),'Bldg C 12WLOA'!$A160:$X160 &lt;&gt; "ACTION - INFO"),"Y","N")</f>
        <v>Y</v>
      </c>
      <c r="Y205" s="208"/>
      <c r="Z205" s="208"/>
    </row>
    <row r="206" spans="1:26" ht="24">
      <c r="A206" s="19" t="s">
        <v>1161</v>
      </c>
      <c r="B206" s="19" t="e">
        <f>+INDEX('[1]RENOV_VAR SUMMARY'!$C$13:$C$1000,MATCH('Bldg C 12WLOA'!$A160:$X160,'[1]RENOV_VAR SUMMARY'!$A$13:$A$1000,0))</f>
        <v>#N/A</v>
      </c>
      <c r="C206" s="19" t="s">
        <v>81</v>
      </c>
      <c r="D206" s="19" t="s">
        <v>74</v>
      </c>
      <c r="E206" s="19" t="e">
        <f>+INDEX('[1]RENOV_VAR SUMMARY'!$AJ$13:$AJ$1000,MATCH('Bldg C 12WLOA'!$A160:$X160,'[1]RENOV_VAR SUMMARY'!$A$13:$A$1000,0))</f>
        <v>#N/A</v>
      </c>
      <c r="F206" s="19" t="s">
        <v>1162</v>
      </c>
      <c r="G206" s="2" t="e">
        <f>+INDEX('[1]RENOV_VAR SUMMARY'!$U$13:$U$600,MATCH('Bldg C 12WLOA'!$A160:$X160,'[1]RENOV_VAR SUMMARY'!$A$13:$A$600,0))</f>
        <v>#N/A</v>
      </c>
      <c r="H206" s="23"/>
      <c r="I206" s="6"/>
      <c r="J206" s="6"/>
      <c r="K206" s="6"/>
      <c r="L206" s="6"/>
      <c r="M206" s="6"/>
      <c r="N206" s="6"/>
      <c r="O206" s="6"/>
      <c r="P206" s="6"/>
      <c r="Q206" s="6"/>
      <c r="R206" s="6" t="str">
        <f xml:space="preserve"> _xlfn.CONCAT('Bldg C 12WLOA'!$A160:$X160, "-",'Bldg C 12WLOA'!$A160:$X160)</f>
        <v>---160C1N----160C1N</v>
      </c>
      <c r="S206" s="6" t="str">
        <f xml:space="preserve"> _xlfn.CONCAT('Bldg C 12WLOA'!$A160:$X160, "-",'Bldg C 12WLOA'!$A160:$X160)</f>
        <v>---160C1N----160C1N</v>
      </c>
      <c r="T206" s="6">
        <f>ROW()</f>
        <v>206</v>
      </c>
      <c r="U206" s="6" t="str">
        <f>IF('Bldg C 12WLOA'!$A160:$X160 = "", "",
   IF(_xlfn.XLOOKUP('Bldg C 12WLOA'!$A160:$X160,OWNER_LIST[Owner Name],OWNER_LIST[Email], "") = "", "",
      _xlfn.XLOOKUP('Bldg C 12WLOA'!$A160:$X160,OWNER_LIST[Owner Name],OWNER_LIST[Email], "")))</f>
        <v/>
      </c>
      <c r="V206" s="6" t="str">
        <f>IF('Bldg C 12WLOA'!$A160:$X160 = "", "",
   IF(_xlfn.XLOOKUP('Bldg C 12WLOA'!$A160:$X160,OWNER_LIST[Owner Name],OWNER_LIST[Email], "") = "", "",
      _xlfn.XLOOKUP('Bldg C 12WLOA'!$A160:$X160,OWNER_LIST[Owner Name],OWNER_LIST[Email], "")))</f>
        <v/>
      </c>
      <c r="W206" s="6" t="e">
        <f>'Bldg C 12WLOA'!#REF!</f>
        <v>#REF!</v>
      </c>
      <c r="X206" s="6" t="str">
        <f>IF(AND(NOT(ISBLANK('Bldg C 12WLOA'!$A160:$X160)),'Bldg C 12WLOA'!$A160:$X160 &lt;&gt; "ACTION - INFO"),"Y","N")</f>
        <v>Y</v>
      </c>
      <c r="Y206" s="208"/>
      <c r="Z206" s="208"/>
    </row>
    <row r="207" spans="1:26" ht="36">
      <c r="A207" s="19" t="s">
        <v>1163</v>
      </c>
      <c r="B207" s="19" t="s">
        <v>1164</v>
      </c>
      <c r="C207" s="19" t="s">
        <v>95</v>
      </c>
      <c r="D207" s="19" t="s">
        <v>74</v>
      </c>
      <c r="E207" s="19" t="s">
        <v>1165</v>
      </c>
      <c r="F207" s="19"/>
      <c r="G207" s="2" t="s">
        <v>77</v>
      </c>
      <c r="H207" s="23"/>
      <c r="I207" s="6"/>
      <c r="J207" s="6"/>
      <c r="K207" s="6"/>
      <c r="L207" s="6"/>
      <c r="M207" s="6"/>
      <c r="N207" s="6"/>
      <c r="O207" s="6"/>
      <c r="P207" s="6"/>
      <c r="Q207" s="6"/>
      <c r="R207" s="6"/>
      <c r="S207" s="6"/>
      <c r="T207" s="6"/>
      <c r="U207" s="6"/>
      <c r="V207" s="6"/>
      <c r="W207" s="6"/>
      <c r="X207" s="6"/>
      <c r="Y207" s="208"/>
      <c r="Z207" s="208"/>
    </row>
    <row r="208" spans="1:26" ht="48">
      <c r="A208" s="19" t="s">
        <v>1166</v>
      </c>
      <c r="B208" s="19" t="s">
        <v>1167</v>
      </c>
      <c r="C208" s="19" t="s">
        <v>95</v>
      </c>
      <c r="D208" s="19" t="s">
        <v>74</v>
      </c>
      <c r="E208" s="19"/>
      <c r="F208" s="19" t="s">
        <v>1168</v>
      </c>
      <c r="G208" s="2" t="s">
        <v>77</v>
      </c>
      <c r="H208" s="23"/>
      <c r="I208" s="6"/>
      <c r="J208" s="6"/>
      <c r="K208" s="6"/>
      <c r="L208" s="6"/>
      <c r="M208" s="6"/>
      <c r="N208" s="6"/>
      <c r="O208" s="6"/>
      <c r="P208" s="6"/>
      <c r="Q208" s="6"/>
      <c r="R208" s="6"/>
      <c r="S208" s="6"/>
      <c r="T208" s="6"/>
      <c r="U208" s="6"/>
      <c r="V208" s="6"/>
      <c r="W208" s="6"/>
      <c r="X208" s="6"/>
      <c r="Y208" s="208"/>
      <c r="Z208" s="208"/>
    </row>
    <row r="209" spans="1:24" ht="48">
      <c r="A209" s="19" t="s">
        <v>1169</v>
      </c>
      <c r="B209" s="19" t="s">
        <v>516</v>
      </c>
      <c r="C209" s="19" t="s">
        <v>95</v>
      </c>
      <c r="D209" s="19" t="s">
        <v>74</v>
      </c>
      <c r="E209" s="19"/>
      <c r="F209" s="19" t="s">
        <v>1170</v>
      </c>
      <c r="G209" s="2" t="s">
        <v>93</v>
      </c>
      <c r="H209" s="23"/>
      <c r="I209" s="6"/>
      <c r="J209" s="6"/>
      <c r="K209" s="6"/>
      <c r="L209" s="6"/>
      <c r="M209" s="6"/>
      <c r="N209" s="6"/>
      <c r="O209" s="6"/>
      <c r="P209" s="6"/>
      <c r="Q209" s="6"/>
      <c r="R209" s="6"/>
      <c r="S209" s="6"/>
      <c r="T209" s="6"/>
      <c r="U209" s="6"/>
      <c r="V209" s="6"/>
      <c r="W209" s="6"/>
      <c r="X209" s="6"/>
    </row>
    <row r="210" spans="1:24" ht="24">
      <c r="A210" s="19" t="s">
        <v>1171</v>
      </c>
      <c r="B210" s="19" t="s">
        <v>1172</v>
      </c>
      <c r="C210" s="19" t="s">
        <v>95</v>
      </c>
      <c r="D210" s="19" t="s">
        <v>74</v>
      </c>
      <c r="E210" s="19"/>
      <c r="F210" s="19" t="s">
        <v>1173</v>
      </c>
      <c r="G210" s="2" t="s">
        <v>93</v>
      </c>
      <c r="H210" s="23"/>
      <c r="I210" s="6"/>
      <c r="J210" s="6"/>
      <c r="K210" s="6"/>
      <c r="L210" s="6"/>
      <c r="M210" s="6"/>
      <c r="N210" s="6"/>
      <c r="O210" s="6"/>
      <c r="P210" s="6"/>
      <c r="Q210" s="6"/>
      <c r="R210" s="6"/>
      <c r="S210" s="6"/>
      <c r="T210" s="6"/>
      <c r="U210" s="6"/>
      <c r="V210" s="6"/>
      <c r="W210" s="6"/>
      <c r="X210" s="6"/>
    </row>
    <row r="211" spans="1:24" ht="48">
      <c r="A211" s="19" t="s">
        <v>79</v>
      </c>
      <c r="B211" s="19" t="s">
        <v>1174</v>
      </c>
      <c r="C211" s="19"/>
      <c r="D211" s="19" t="s">
        <v>74</v>
      </c>
      <c r="E211" s="19" t="s">
        <v>1175</v>
      </c>
      <c r="F211" s="19" t="s">
        <v>1176</v>
      </c>
      <c r="G211" s="2" t="s">
        <v>93</v>
      </c>
      <c r="H211" s="23"/>
      <c r="I211" s="6"/>
      <c r="J211" s="6"/>
      <c r="K211" s="6"/>
      <c r="L211" s="6"/>
      <c r="M211" s="6"/>
      <c r="N211" s="6"/>
      <c r="O211" s="6"/>
      <c r="P211" s="6"/>
      <c r="Q211" s="6"/>
      <c r="R211" s="6" t="e">
        <f xml:space="preserve"> _xlfn.CONCAT(C_1[[#This Row],[ESCALATE]], "-",C_1[[#This Row],[Row_PM]])</f>
        <v>#VALUE!</v>
      </c>
      <c r="S211" s="6" t="e">
        <f xml:space="preserve"> _xlfn.CONCAT(C_1[[#This Row],[ESCALATE]], "-",C_1[[#This Row],[Notify_PM]])</f>
        <v>#VALUE!</v>
      </c>
      <c r="T211" s="6">
        <f>ROW()</f>
        <v>211</v>
      </c>
      <c r="U211" s="6" t="e">
        <f>IF(C_1[[#This Row],[OWNER NAME 1]] = "", "",
   IF(_xlfn.XLOOKUP(C_1[[#This Row],[OWNER NAME 1]],OWNER_LIST[Owner Name], OWNER_LIST[Email], "") = "", "",
      _xlfn.XLOOKUP(C_1[[#This Row],[OWNER NAME 1]], OWNER_LIST[Owner Name], OWNER_LIST[Email], "")))</f>
        <v>#VALUE!</v>
      </c>
      <c r="V211" s="6" t="e">
        <f>IF(C_1[[#This Row],[OWNER NAME 2]] = "", "",
   IF(_xlfn.XLOOKUP(C_1[[#This Row],[OWNER NAME 2]],OWNER_LIST[Owner Name], OWNER_LIST[Email], "") = "", "",
      _xlfn.XLOOKUP(C_1[[#This Row],[OWNER NAME 2]], OWNER_LIST[Owner Name], OWNER_LIST[Email], "")))</f>
        <v>#VALUE!</v>
      </c>
      <c r="W211" s="6" t="str">
        <f>'Bldg C 12WLOA'!$A$37</f>
        <v>C1</v>
      </c>
      <c r="X211" s="6" t="e">
        <f>IF(AND(NOT(ISBLANK(C_1[[#This Row],[ACTION - INFO]])),C_1[[#This Row],[ACTION - INFO]] &lt;&gt; "ACTION - INFO"),"Y","N")</f>
        <v>#VALUE!</v>
      </c>
    </row>
    <row r="212" spans="1:24" ht="24">
      <c r="A212" s="19" t="s">
        <v>143</v>
      </c>
      <c r="B212" s="19" t="s">
        <v>1177</v>
      </c>
      <c r="C212" s="19"/>
      <c r="D212" s="19" t="s">
        <v>74</v>
      </c>
      <c r="E212" s="19" t="s">
        <v>1178</v>
      </c>
      <c r="F212" s="19" t="s">
        <v>1179</v>
      </c>
      <c r="G212" s="2" t="s">
        <v>93</v>
      </c>
      <c r="H212" s="23"/>
      <c r="I212" s="132"/>
      <c r="J212" s="83"/>
      <c r="K212" s="83"/>
      <c r="L212" s="83"/>
      <c r="M212" s="133"/>
      <c r="N212" s="207"/>
      <c r="O212" s="208"/>
      <c r="P212" s="208"/>
      <c r="Q212" s="75"/>
      <c r="R212" s="75" t="e">
        <f xml:space="preserve"> _xlfn.CONCAT(C_1[[#This Row],[ESCALATE]], "-",C_1[[#This Row],[Row_PM]])</f>
        <v>#VALUE!</v>
      </c>
      <c r="S212" s="75" t="e">
        <f xml:space="preserve"> _xlfn.CONCAT(C_1[[#This Row],[ESCALATE]], "-",C_1[[#This Row],[Notify_PM]])</f>
        <v>#VALUE!</v>
      </c>
      <c r="T212" s="75">
        <f>ROW()</f>
        <v>212</v>
      </c>
      <c r="U212" s="75" t="e">
        <f>IF(C_1[[#This Row],[OWNER NAME 1]] = "", "",
   IF(_xlfn.XLOOKUP(C_1[[#This Row],[OWNER NAME 1]],OWNER_LIST[Owner Name], OWNER_LIST[Email], "") = "", "",
      _xlfn.XLOOKUP(C_1[[#This Row],[OWNER NAME 1]], OWNER_LIST[Owner Name], OWNER_LIST[Email], "")))</f>
        <v>#VALUE!</v>
      </c>
      <c r="V212" s="75" t="e">
        <f>IF(C_1[[#This Row],[OWNER NAME 2]] = "", "",
   IF(_xlfn.XLOOKUP(C_1[[#This Row],[OWNER NAME 2]],OWNER_LIST[Owner Name], OWNER_LIST[Email], "") = "", "",
      _xlfn.XLOOKUP(C_1[[#This Row],[OWNER NAME 2]], OWNER_LIST[Owner Name], OWNER_LIST[Email], "")))</f>
        <v>#VALUE!</v>
      </c>
      <c r="W212" s="75" t="str">
        <f>'Bldg C 12WLOA'!$A$37</f>
        <v>C1</v>
      </c>
      <c r="X212" s="75" t="e">
        <f>IF(AND(NOT(ISBLANK(C_1[[#This Row],[ACTION - INFO]])),C_1[[#This Row],[ACTION - INFO]] &lt;&gt; "ACTION - INFO"),"Y","N")</f>
        <v>#VALUE!</v>
      </c>
    </row>
    <row r="213" spans="1:24" ht="72">
      <c r="A213" s="19" t="s">
        <v>148</v>
      </c>
      <c r="B213" s="19" t="s">
        <v>1180</v>
      </c>
      <c r="C213" s="19"/>
      <c r="D213" s="19" t="s">
        <v>74</v>
      </c>
      <c r="E213" s="19"/>
      <c r="F213" s="19" t="s">
        <v>1181</v>
      </c>
      <c r="G213" s="2" t="s">
        <v>93</v>
      </c>
      <c r="H213" s="23"/>
      <c r="I213" s="132"/>
      <c r="J213" s="83"/>
      <c r="K213" s="83"/>
      <c r="L213" s="83"/>
      <c r="M213" s="133"/>
      <c r="N213" s="207"/>
      <c r="O213" s="208"/>
      <c r="P213" s="208"/>
      <c r="Q213" s="75"/>
      <c r="R213" s="75" t="e">
        <f xml:space="preserve"> _xlfn.CONCAT(C_1[[#This Row],[ESCALATE]], "-",C_1[[#This Row],[Row_PM]])</f>
        <v>#VALUE!</v>
      </c>
      <c r="S213" s="75" t="e">
        <f xml:space="preserve"> _xlfn.CONCAT(C_1[[#This Row],[ESCALATE]], "-",C_1[[#This Row],[Notify_PM]])</f>
        <v>#VALUE!</v>
      </c>
      <c r="T213" s="75">
        <f>ROW()</f>
        <v>213</v>
      </c>
      <c r="U213" s="75" t="e">
        <f>IF(C_1[[#This Row],[OWNER NAME 1]] = "", "",
   IF(_xlfn.XLOOKUP(C_1[[#This Row],[OWNER NAME 1]],OWNER_LIST[Owner Name], OWNER_LIST[Email], "") = "", "",
      _xlfn.XLOOKUP(C_1[[#This Row],[OWNER NAME 1]], OWNER_LIST[Owner Name], OWNER_LIST[Email], "")))</f>
        <v>#VALUE!</v>
      </c>
      <c r="V213" s="75" t="e">
        <f>IF(C_1[[#This Row],[OWNER NAME 2]] = "", "",
   IF(_xlfn.XLOOKUP(C_1[[#This Row],[OWNER NAME 2]],OWNER_LIST[Owner Name], OWNER_LIST[Email], "") = "", "",
      _xlfn.XLOOKUP(C_1[[#This Row],[OWNER NAME 2]], OWNER_LIST[Owner Name], OWNER_LIST[Email], "")))</f>
        <v>#VALUE!</v>
      </c>
      <c r="W213" s="75" t="str">
        <f>'Bldg C 12WLOA'!$A$37</f>
        <v>C1</v>
      </c>
      <c r="X213" s="75" t="e">
        <f>IF(AND(NOT(ISBLANK(C_1[[#This Row],[ACTION - INFO]])),C_1[[#This Row],[ACTION - INFO]] &lt;&gt; "ACTION - INFO"),"Y","N")</f>
        <v>#VALUE!</v>
      </c>
    </row>
    <row r="214" spans="1:24" ht="84">
      <c r="A214" s="19" t="s">
        <v>834</v>
      </c>
      <c r="B214" s="19" t="s">
        <v>1182</v>
      </c>
      <c r="C214" s="19"/>
      <c r="D214" s="19" t="s">
        <v>74</v>
      </c>
      <c r="E214" s="19" t="s">
        <v>1183</v>
      </c>
      <c r="F214" s="19" t="s">
        <v>1184</v>
      </c>
      <c r="G214" s="2" t="s">
        <v>85</v>
      </c>
      <c r="H214" s="23"/>
      <c r="I214" s="6"/>
      <c r="J214" s="6"/>
      <c r="K214" s="6"/>
      <c r="L214" s="6"/>
      <c r="M214" s="6"/>
      <c r="N214" s="6"/>
      <c r="O214" s="6"/>
      <c r="P214" s="6"/>
      <c r="Q214" s="6"/>
      <c r="R214" s="6" t="e">
        <f xml:space="preserve"> _xlfn.CONCAT(C_1[[#This Row],[ESCALATE]], "-",C_1[[#This Row],[Row_PM]])</f>
        <v>#VALUE!</v>
      </c>
      <c r="S214" s="6" t="e">
        <f xml:space="preserve"> _xlfn.CONCAT(C_1[[#This Row],[ESCALATE]], "-",C_1[[#This Row],[Notify_PM]])</f>
        <v>#VALUE!</v>
      </c>
      <c r="T214" s="6">
        <f>ROW()</f>
        <v>214</v>
      </c>
      <c r="U214" s="6" t="e">
        <f>IF(C_1[[#This Row],[OWNER NAME 1]] = "", "",
   IF(_xlfn.XLOOKUP(C_1[[#This Row],[OWNER NAME 1]],OWNER_LIST[Owner Name], OWNER_LIST[Email], "") = "", "",
      _xlfn.XLOOKUP(C_1[[#This Row],[OWNER NAME 1]], OWNER_LIST[Owner Name], OWNER_LIST[Email], "")))</f>
        <v>#VALUE!</v>
      </c>
      <c r="V214" s="6" t="e">
        <f>IF(C_1[[#This Row],[OWNER NAME 2]] = "", "",
   IF(_xlfn.XLOOKUP(C_1[[#This Row],[OWNER NAME 2]],OWNER_LIST[Owner Name], OWNER_LIST[Email], "") = "", "",
      _xlfn.XLOOKUP(C_1[[#This Row],[OWNER NAME 2]], OWNER_LIST[Owner Name], OWNER_LIST[Email], "")))</f>
        <v>#VALUE!</v>
      </c>
      <c r="W214" s="6" t="str">
        <f>'Bldg C 12WLOA'!$A$37</f>
        <v>C1</v>
      </c>
      <c r="X214" s="6" t="e">
        <f>IF(AND(NOT(ISBLANK(C_1[[#This Row],[ACTION - INFO]])),C_1[[#This Row],[ACTION - INFO]] &lt;&gt; "ACTION - INFO"),"Y","N")</f>
        <v>#VALUE!</v>
      </c>
    </row>
    <row r="215" spans="1:24" ht="24">
      <c r="A215" s="19" t="s">
        <v>834</v>
      </c>
      <c r="B215" s="19" t="s">
        <v>1185</v>
      </c>
      <c r="C215" s="19"/>
      <c r="D215" s="19" t="s">
        <v>74</v>
      </c>
      <c r="E215" s="19" t="s">
        <v>1186</v>
      </c>
      <c r="F215" s="19" t="s">
        <v>1187</v>
      </c>
      <c r="G215" s="2" t="s">
        <v>90</v>
      </c>
      <c r="H215" s="23"/>
      <c r="I215" s="6"/>
      <c r="J215" s="6"/>
      <c r="K215" s="6"/>
      <c r="L215" s="6"/>
      <c r="M215" s="6"/>
      <c r="N215" s="6"/>
      <c r="O215" s="6"/>
      <c r="P215" s="6"/>
      <c r="Q215" s="6"/>
      <c r="R215" s="6" t="e">
        <f xml:space="preserve"> _xlfn.CONCAT(C_1[[#This Row],[ESCALATE]], "-",C_1[[#This Row],[Row_PM]])</f>
        <v>#VALUE!</v>
      </c>
      <c r="S215" s="6" t="e">
        <f xml:space="preserve"> _xlfn.CONCAT(C_1[[#This Row],[ESCALATE]], "-",C_1[[#This Row],[Notify_PM]])</f>
        <v>#VALUE!</v>
      </c>
      <c r="T215" s="6">
        <f>ROW()</f>
        <v>215</v>
      </c>
      <c r="U215" s="6" t="e">
        <f>IF(C_1[[#This Row],[OWNER NAME 1]] = "", "",
   IF(_xlfn.XLOOKUP(C_1[[#This Row],[OWNER NAME 1]],OWNER_LIST[Owner Name], OWNER_LIST[Email], "") = "", "",
      _xlfn.XLOOKUP(C_1[[#This Row],[OWNER NAME 1]], OWNER_LIST[Owner Name], OWNER_LIST[Email], "")))</f>
        <v>#VALUE!</v>
      </c>
      <c r="V215" s="6" t="e">
        <f>IF(C_1[[#This Row],[OWNER NAME 2]] = "", "",
   IF(_xlfn.XLOOKUP(C_1[[#This Row],[OWNER NAME 2]],OWNER_LIST[Owner Name], OWNER_LIST[Email], "") = "", "",
      _xlfn.XLOOKUP(C_1[[#This Row],[OWNER NAME 2]], OWNER_LIST[Owner Name], OWNER_LIST[Email], "")))</f>
        <v>#VALUE!</v>
      </c>
      <c r="W215" s="6" t="str">
        <f>'Bldg C 12WLOA'!$A$37</f>
        <v>C1</v>
      </c>
      <c r="X215" s="6" t="e">
        <f>IF(AND(NOT(ISBLANK(C_1[[#This Row],[ACTION - INFO]])),C_1[[#This Row],[ACTION - INFO]] &lt;&gt; "ACTION - INFO"),"Y","N")</f>
        <v>#VALUE!</v>
      </c>
    </row>
    <row r="216" spans="1:24" ht="72">
      <c r="A216" s="19" t="s">
        <v>152</v>
      </c>
      <c r="B216" s="19" t="s">
        <v>1188</v>
      </c>
      <c r="C216" s="19" t="s">
        <v>81</v>
      </c>
      <c r="D216" s="19" t="s">
        <v>74</v>
      </c>
      <c r="E216" s="19" t="s">
        <v>1189</v>
      </c>
      <c r="F216" s="19" t="s">
        <v>1190</v>
      </c>
      <c r="G216" s="2" t="s">
        <v>85</v>
      </c>
      <c r="H216" s="23"/>
      <c r="I216" s="6"/>
      <c r="J216" s="6"/>
      <c r="K216" s="6"/>
      <c r="L216" s="6"/>
      <c r="M216" s="6"/>
      <c r="N216" s="6"/>
      <c r="O216" s="6"/>
      <c r="P216" s="6"/>
      <c r="Q216" s="6"/>
      <c r="R216" s="6" t="e">
        <f xml:space="preserve"> _xlfn.CONCAT(C_1[[#This Row],[ESCALATE]], "-",C_1[[#This Row],[Row_PM]])</f>
        <v>#VALUE!</v>
      </c>
      <c r="S216" s="6" t="e">
        <f xml:space="preserve"> _xlfn.CONCAT(C_1[[#This Row],[ESCALATE]], "-",C_1[[#This Row],[Notify_PM]])</f>
        <v>#VALUE!</v>
      </c>
      <c r="T216" s="6">
        <f>ROW()</f>
        <v>216</v>
      </c>
      <c r="U216" s="6" t="e">
        <f>IF(C_1[[#This Row],[OWNER NAME 1]] = "", "",
   IF(_xlfn.XLOOKUP(C_1[[#This Row],[OWNER NAME 1]],OWNER_LIST[Owner Name], OWNER_LIST[Email], "") = "", "",
      _xlfn.XLOOKUP(C_1[[#This Row],[OWNER NAME 1]], OWNER_LIST[Owner Name], OWNER_LIST[Email], "")))</f>
        <v>#VALUE!</v>
      </c>
      <c r="V216" s="6" t="e">
        <f>IF(C_1[[#This Row],[OWNER NAME 2]] = "", "",
   IF(_xlfn.XLOOKUP(C_1[[#This Row],[OWNER NAME 2]],OWNER_LIST[Owner Name], OWNER_LIST[Email], "") = "", "",
      _xlfn.XLOOKUP(C_1[[#This Row],[OWNER NAME 2]], OWNER_LIST[Owner Name], OWNER_LIST[Email], "")))</f>
        <v>#VALUE!</v>
      </c>
      <c r="W216" s="6" t="str">
        <f>'Bldg C 12WLOA'!$A$37</f>
        <v>C1</v>
      </c>
      <c r="X216" s="6" t="e">
        <f>IF(AND(NOT(ISBLANK(C_1[[#This Row],[ACTION - INFO]])),C_1[[#This Row],[ACTION - INFO]] &lt;&gt; "ACTION - INFO"),"Y","N")</f>
        <v>#VALUE!</v>
      </c>
    </row>
    <row r="217" spans="1:24" ht="48">
      <c r="A217" s="19" t="s">
        <v>79</v>
      </c>
      <c r="B217" s="19" t="s">
        <v>106</v>
      </c>
      <c r="C217" s="19"/>
      <c r="D217" s="19" t="s">
        <v>74</v>
      </c>
      <c r="E217" s="19" t="s">
        <v>1191</v>
      </c>
      <c r="F217" s="19"/>
      <c r="G217" s="2" t="s">
        <v>90</v>
      </c>
      <c r="H217" s="135"/>
      <c r="I217" s="132" t="str" cm="1">
        <f t="array" ref="I217">IFERROR(_xlfn.TEXTJOIN(" / ", TRUE, IF(OWNER_LIST[Owner Name]=C_1[[#This Row],[OWNER NAME 1]], OWNER_LIST[Owner ORG], ""), IF(OWNER_LIST[Owner Name]=C_1[[#This Row],[OWNER NAME 2]], OWNER_LIST[Owner ORG], "")), "")</f>
        <v/>
      </c>
      <c r="J217" s="143"/>
      <c r="K217" s="143"/>
      <c r="L217" s="83"/>
      <c r="M217" s="133"/>
      <c r="N217" s="207"/>
      <c r="O217" s="208"/>
      <c r="P217" s="127"/>
      <c r="Q217" s="75"/>
      <c r="R217" s="75" t="e">
        <f xml:space="preserve"> _xlfn.CONCAT(C_1[[#This Row],[ESCALATE]], "-",C_1[[#This Row],[Row_PM]])</f>
        <v>#VALUE!</v>
      </c>
      <c r="S217" s="75" t="e">
        <f xml:space="preserve"> _xlfn.CONCAT(C_1[[#This Row],[ESCALATE]], "-",C_1[[#This Row],[Notify_PM]])</f>
        <v>#VALUE!</v>
      </c>
      <c r="T217" s="88">
        <f>ROW()</f>
        <v>217</v>
      </c>
      <c r="U217" s="77" t="e">
        <f>IF(C_1[[#This Row],[OWNER NAME 1]] = "", "",
   IF(_xlfn.XLOOKUP(C_1[[#This Row],[OWNER NAME 1]],OWNER_LIST[Owner Name], OWNER_LIST[Email], "") = "", "",
      _xlfn.XLOOKUP(C_1[[#This Row],[OWNER NAME 1]], OWNER_LIST[Owner Name], OWNER_LIST[Email], "")))</f>
        <v>#VALUE!</v>
      </c>
      <c r="V217" s="77" t="e">
        <f>IF(C_1[[#This Row],[OWNER NAME 2]] = "", "",
   IF(_xlfn.XLOOKUP(C_1[[#This Row],[OWNER NAME 2]],OWNER_LIST[Owner Name], OWNER_LIST[Email], "") = "", "",
      _xlfn.XLOOKUP(C_1[[#This Row],[OWNER NAME 2]], OWNER_LIST[Owner Name], OWNER_LIST[Email], "")))</f>
        <v>#VALUE!</v>
      </c>
      <c r="W217" s="88" t="str">
        <f>'Bldg C 12WLOA'!$A$37</f>
        <v>C1</v>
      </c>
      <c r="X217" s="89" t="e">
        <f>IF(
    OR(
        AND(
            NOT(ISBLANK(C_1[[#This Row],[DESCRIPTION -  INFORMATION LOG]])),
            C_1[[#This Row],[DESCRIPTION -  INFORMATION LOG]] &lt;&gt; "DESCRIPTION -  INFORMATION LOG"
        ),
        NOT(ISBLANK(C_1[[#This Row],[ACTION REQUIRED]]))
    ),
    "Y",
    "N"
)</f>
        <v>#VALUE!</v>
      </c>
    </row>
    <row r="218" spans="1:24" ht="72">
      <c r="A218" s="19" t="s">
        <v>834</v>
      </c>
      <c r="B218" s="19" t="s">
        <v>1192</v>
      </c>
      <c r="C218" s="19" t="s">
        <v>81</v>
      </c>
      <c r="D218" s="19" t="s">
        <v>74</v>
      </c>
      <c r="E218" s="19" t="s">
        <v>1193</v>
      </c>
      <c r="F218" s="19"/>
      <c r="G218" s="2" t="s">
        <v>90</v>
      </c>
      <c r="H218" s="93"/>
      <c r="I218" s="132"/>
      <c r="J218" s="83"/>
      <c r="K218" s="83"/>
      <c r="L218" s="83"/>
      <c r="M218" s="133"/>
      <c r="N218" s="207"/>
      <c r="O218" s="208"/>
      <c r="P218" s="208"/>
      <c r="Q218" s="75"/>
      <c r="R218" s="75" t="e">
        <f xml:space="preserve"> _xlfn.CONCAT(C_1[[#This Row],[ESCALATE]], "-",C_1[[#This Row],[Row_PM]])</f>
        <v>#VALUE!</v>
      </c>
      <c r="S218" s="75" t="e">
        <f xml:space="preserve"> _xlfn.CONCAT(C_1[[#This Row],[ESCALATE]], "-",C_1[[#This Row],[Notify_PM]])</f>
        <v>#VALUE!</v>
      </c>
      <c r="T218" s="75">
        <f>ROW()</f>
        <v>218</v>
      </c>
      <c r="U218" s="75" t="e">
        <f>IF(C_1[[#This Row],[OWNER NAME 1]] = "", "",
   IF(_xlfn.XLOOKUP(C_1[[#This Row],[OWNER NAME 1]],OWNER_LIST[Owner Name], OWNER_LIST[Email], "") = "", "",
      _xlfn.XLOOKUP(C_1[[#This Row],[OWNER NAME 1]], OWNER_LIST[Owner Name], OWNER_LIST[Email], "")))</f>
        <v>#VALUE!</v>
      </c>
      <c r="V218" s="75" t="e">
        <f>IF(C_1[[#This Row],[OWNER NAME 2]] = "", "",
   IF(_xlfn.XLOOKUP(C_1[[#This Row],[OWNER NAME 2]],OWNER_LIST[Owner Name], OWNER_LIST[Email], "") = "", "",
      _xlfn.XLOOKUP(C_1[[#This Row],[OWNER NAME 2]], OWNER_LIST[Owner Name], OWNER_LIST[Email], "")))</f>
        <v>#VALUE!</v>
      </c>
      <c r="W218" s="75" t="str">
        <f>'Bldg C 12WLOA'!$A$37</f>
        <v>C1</v>
      </c>
      <c r="X218" s="75" t="e">
        <f>IF(
    OR(
        AND(
            NOT(ISBLANK(C_1[[#This Row],[DESCRIPTION -  INFORMATION LOG]])),
            C_1[[#This Row],[DESCRIPTION -  INFORMATION LOG]] &lt;&gt; "DESCRIPTION -  INFORMATION LOG"
        ),
        NOT(ISBLANK(C_1[[#This Row],[ACTION REQUIRED]]))
    ),
    "Y",
    "N"
)</f>
        <v>#VALUE!</v>
      </c>
    </row>
    <row r="219" spans="1:24" ht="48">
      <c r="A219" s="19" t="s">
        <v>152</v>
      </c>
      <c r="B219" s="19" t="s">
        <v>1194</v>
      </c>
      <c r="C219" s="19"/>
      <c r="D219" s="19" t="s">
        <v>74</v>
      </c>
      <c r="E219" s="19" t="s">
        <v>1195</v>
      </c>
      <c r="F219" s="19" t="s">
        <v>1196</v>
      </c>
      <c r="G219" s="2" t="s">
        <v>85</v>
      </c>
      <c r="H219" s="155"/>
      <c r="I219" s="132"/>
      <c r="J219" s="143"/>
      <c r="K219" s="143"/>
      <c r="L219" s="143"/>
      <c r="M219" s="133"/>
      <c r="N219" s="207"/>
      <c r="O219" s="208"/>
      <c r="P219" s="127"/>
      <c r="Q219" s="75"/>
      <c r="R219" s="75" t="e">
        <f xml:space="preserve"> _xlfn.CONCAT(C_1[[#This Row],[ESCALATE]], "-",C_1[[#This Row],[Row_PM]])</f>
        <v>#VALUE!</v>
      </c>
      <c r="S219" s="75" t="e">
        <f xml:space="preserve"> _xlfn.CONCAT(C_1[[#This Row],[ESCALATE]], "-",C_1[[#This Row],[Notify_PM]])</f>
        <v>#VALUE!</v>
      </c>
      <c r="T219" s="88">
        <f>ROW()</f>
        <v>219</v>
      </c>
      <c r="U219" s="77" t="e">
        <f>IF(C_1[[#This Row],[OWNER NAME 1]] = "", "",
   IF(_xlfn.XLOOKUP(C_1[[#This Row],[OWNER NAME 1]],OWNER_LIST[Owner Name], OWNER_LIST[Email], "") = "", "",
      _xlfn.XLOOKUP(C_1[[#This Row],[OWNER NAME 1]], OWNER_LIST[Owner Name], OWNER_LIST[Email], "")))</f>
        <v>#VALUE!</v>
      </c>
      <c r="V219" s="77" t="e">
        <f>IF(C_1[[#This Row],[OWNER NAME 2]] = "", "",
   IF(_xlfn.XLOOKUP(C_1[[#This Row],[OWNER NAME 2]],OWNER_LIST[Owner Name], OWNER_LIST[Email], "") = "", "",
      _xlfn.XLOOKUP(C_1[[#This Row],[OWNER NAME 2]], OWNER_LIST[Owner Name], OWNER_LIST[Email], "")))</f>
        <v>#VALUE!</v>
      </c>
      <c r="W219" s="88" t="str">
        <f>'Bldg C 12WLOA'!$A$37</f>
        <v>C1</v>
      </c>
      <c r="X219" s="88" t="e">
        <f>IF(
    OR(
        AND(
            NOT(ISBLANK(C_1[[#This Row],[DESCRIPTION -  INFORMATION LOG]])),
            C_1[[#This Row],[DESCRIPTION -  INFORMATION LOG]] &lt;&gt; "DESCRIPTION -  INFORMATION LOG"
        ),
        NOT(ISBLANK(C_1[[#This Row],[ACTION REQUIRED]]))
    ),
    "Y",
    "N"
)</f>
        <v>#VALUE!</v>
      </c>
    </row>
    <row r="220" spans="1:24" ht="15"/>
    <row r="221" spans="1:24" ht="72">
      <c r="A221" s="19" t="s">
        <v>152</v>
      </c>
      <c r="B221" s="19" t="s">
        <v>1197</v>
      </c>
      <c r="C221" s="19"/>
      <c r="D221" s="19" t="s">
        <v>74</v>
      </c>
      <c r="E221" s="19" t="s">
        <v>1198</v>
      </c>
      <c r="F221" s="19" t="s">
        <v>1199</v>
      </c>
      <c r="G221" s="2" t="s">
        <v>93</v>
      </c>
      <c r="H221" s="155"/>
      <c r="I221" s="132"/>
      <c r="J221" s="143"/>
      <c r="K221" s="143"/>
      <c r="L221" s="143"/>
      <c r="M221" s="133"/>
      <c r="N221" s="207"/>
      <c r="O221" s="208"/>
      <c r="P221" s="127"/>
      <c r="Q221" s="75"/>
      <c r="R221" s="75"/>
      <c r="S221" s="75"/>
      <c r="T221" s="88"/>
      <c r="U221" s="77"/>
      <c r="V221" s="77"/>
      <c r="W221" s="88"/>
      <c r="X221" s="89" t="e">
        <f>IF(
    OR(
        AND(
            NOT(ISBLANK(C_1[[#This Row],[DESCRIPTION -  INFORMATION LOG]])),
            C_1[[#This Row],[DESCRIPTION -  INFORMATION LOG]] &lt;&gt; "DESCRIPTION -  INFORMATION LOG"
        ),
        NOT(ISBLANK(C_1[[#This Row],[ACTION REQUIRED]]))
    ),
    "Y",
    "N"
)</f>
        <v>#VALUE!</v>
      </c>
    </row>
    <row r="222" spans="1:24" ht="72">
      <c r="A222" s="19" t="s">
        <v>269</v>
      </c>
      <c r="B222" s="19" t="s">
        <v>1200</v>
      </c>
      <c r="C222" s="19" t="s">
        <v>81</v>
      </c>
      <c r="D222" s="19" t="s">
        <v>74</v>
      </c>
      <c r="E222" s="19" t="s">
        <v>1201</v>
      </c>
      <c r="F222" s="19"/>
      <c r="G222" s="2" t="s">
        <v>90</v>
      </c>
      <c r="H222" s="155"/>
      <c r="I222" s="132"/>
      <c r="J222" s="143"/>
      <c r="K222" s="143"/>
      <c r="L222" s="143"/>
      <c r="M222" s="133"/>
      <c r="N222" s="207"/>
      <c r="O222" s="208"/>
      <c r="P222" s="127"/>
      <c r="Q222" s="75"/>
      <c r="R222" s="75" t="e">
        <f xml:space="preserve"> _xlfn.CONCAT(C_1[[#This Row],[ESCALATE]], "-",C_1[[#This Row],[Row_PM]])</f>
        <v>#VALUE!</v>
      </c>
      <c r="S222" s="75" t="e">
        <f xml:space="preserve"> _xlfn.CONCAT(C_1[[#This Row],[ESCALATE]], "-",C_1[[#This Row],[Notify_PM]])</f>
        <v>#VALUE!</v>
      </c>
      <c r="T222" s="88">
        <f>ROW()</f>
        <v>222</v>
      </c>
      <c r="U222" s="77" t="e">
        <f>IF(C_1[[#This Row],[OWNER NAME 1]] = "", "",
   IF(_xlfn.XLOOKUP(C_1[[#This Row],[OWNER NAME 1]],OWNER_LIST[Owner Name], OWNER_LIST[Email], "") = "", "",
      _xlfn.XLOOKUP(C_1[[#This Row],[OWNER NAME 1]], OWNER_LIST[Owner Name], OWNER_LIST[Email], "")))</f>
        <v>#VALUE!</v>
      </c>
      <c r="V222" s="77" t="e">
        <f>IF(C_1[[#This Row],[OWNER NAME 2]] = "", "",
   IF(_xlfn.XLOOKUP(C_1[[#This Row],[OWNER NAME 2]],OWNER_LIST[Owner Name], OWNER_LIST[Email], "") = "", "",
      _xlfn.XLOOKUP(C_1[[#This Row],[OWNER NAME 2]], OWNER_LIST[Owner Name], OWNER_LIST[Email], "")))</f>
        <v>#VALUE!</v>
      </c>
      <c r="W222" s="88" t="str">
        <f>'Bldg C 12WLOA'!$A$37</f>
        <v>C1</v>
      </c>
      <c r="X222" s="89" t="e">
        <f>IF(
    OR(
        AND(
            NOT(ISBLANK(C_1[[#This Row],[DESCRIPTION -  INFORMATION LOG]])),
            C_1[[#This Row],[DESCRIPTION -  INFORMATION LOG]] &lt;&gt; "DESCRIPTION -  INFORMATION LOG"
        ),
        NOT(ISBLANK(C_1[[#This Row],[ACTION REQUIRED]]))
    ),
    "Y",
    "N"
)</f>
        <v>#VALUE!</v>
      </c>
    </row>
    <row r="223" spans="1:24" ht="36">
      <c r="A223" s="19" t="s">
        <v>269</v>
      </c>
      <c r="B223" s="19" t="s">
        <v>1202</v>
      </c>
      <c r="C223" s="19" t="s">
        <v>95</v>
      </c>
      <c r="D223" s="19" t="s">
        <v>74</v>
      </c>
      <c r="E223" s="19" t="s">
        <v>1203</v>
      </c>
      <c r="F223" s="19"/>
      <c r="G223" s="2" t="s">
        <v>90</v>
      </c>
      <c r="H223" s="155"/>
      <c r="I223" s="132"/>
      <c r="J223" s="143"/>
      <c r="K223" s="143"/>
      <c r="L223" s="143"/>
      <c r="M223" s="133"/>
      <c r="N223" s="207"/>
      <c r="O223" s="208"/>
      <c r="P223" s="127"/>
      <c r="Q223" s="75"/>
      <c r="R223" s="75" t="e">
        <f xml:space="preserve"> _xlfn.CONCAT(C_1[[#This Row],[ESCALATE]], "-",C_1[[#This Row],[Row_PM]])</f>
        <v>#VALUE!</v>
      </c>
      <c r="S223" s="75" t="e">
        <f xml:space="preserve"> _xlfn.CONCAT(C_1[[#This Row],[ESCALATE]], "-",C_1[[#This Row],[Notify_PM]])</f>
        <v>#VALUE!</v>
      </c>
      <c r="T223" s="88">
        <f>ROW()</f>
        <v>223</v>
      </c>
      <c r="U223" s="77" t="e">
        <f>IF(C_1[[#This Row],[OWNER NAME 1]] = "", "",
   IF(_xlfn.XLOOKUP(C_1[[#This Row],[OWNER NAME 1]],OWNER_LIST[Owner Name], OWNER_LIST[Email], "") = "", "",
      _xlfn.XLOOKUP(C_1[[#This Row],[OWNER NAME 1]], OWNER_LIST[Owner Name], OWNER_LIST[Email], "")))</f>
        <v>#VALUE!</v>
      </c>
      <c r="V223" s="77" t="e">
        <f>IF(C_1[[#This Row],[OWNER NAME 2]] = "", "",
   IF(_xlfn.XLOOKUP(C_1[[#This Row],[OWNER NAME 2]],OWNER_LIST[Owner Name], OWNER_LIST[Email], "") = "", "",
      _xlfn.XLOOKUP(C_1[[#This Row],[OWNER NAME 2]], OWNER_LIST[Owner Name], OWNER_LIST[Email], "")))</f>
        <v>#VALUE!</v>
      </c>
      <c r="W223" s="88" t="str">
        <f>'Bldg C 12WLOA'!$A$37</f>
        <v>C1</v>
      </c>
      <c r="X223" s="89" t="e">
        <f>IF(
    OR(
        AND(
            NOT(ISBLANK(C_1[[#This Row],[DESCRIPTION -  INFORMATION LOG]])),
            C_1[[#This Row],[DESCRIPTION -  INFORMATION LOG]] &lt;&gt; "DESCRIPTION -  INFORMATION LOG"
        ),
        NOT(ISBLANK(C_1[[#This Row],[ACTION REQUIRED]]))
    ),
    "Y",
    "N"
)</f>
        <v>#VALUE!</v>
      </c>
    </row>
    <row r="224" spans="1:24" ht="60.75">
      <c r="A224" s="129" t="s">
        <v>294</v>
      </c>
      <c r="B224" s="211" t="s">
        <v>1204</v>
      </c>
      <c r="C224" s="152"/>
      <c r="D224" s="144" t="s">
        <v>74</v>
      </c>
      <c r="E224" s="129" t="s">
        <v>1205</v>
      </c>
      <c r="F224" s="209" t="s">
        <v>1206</v>
      </c>
      <c r="G224" s="195" t="s">
        <v>85</v>
      </c>
      <c r="H224" s="93"/>
      <c r="I224" s="132"/>
      <c r="J224" s="83"/>
      <c r="K224" s="83"/>
      <c r="L224" s="83"/>
      <c r="M224" s="133"/>
      <c r="N224" s="207"/>
      <c r="O224" s="208"/>
      <c r="P224" s="208"/>
      <c r="Q224" s="75"/>
      <c r="R224" s="75" t="e">
        <f xml:space="preserve"> _xlfn.CONCAT(C_1[[#This Row],[ESCALATE]], "-",C_1[[#This Row],[Row_PM]])</f>
        <v>#VALUE!</v>
      </c>
      <c r="S224" s="75" t="e">
        <f xml:space="preserve"> _xlfn.CONCAT(C_1[[#This Row],[ESCALATE]], "-",C_1[[#This Row],[Notify_PM]])</f>
        <v>#VALUE!</v>
      </c>
      <c r="T224" s="75">
        <f>ROW()</f>
        <v>224</v>
      </c>
      <c r="U224" s="75" t="e">
        <f>IF(C_1[[#This Row],[OWNER NAME 1]] = "", "",
   IF(_xlfn.XLOOKUP(C_1[[#This Row],[OWNER NAME 1]],OWNER_LIST[Owner Name], OWNER_LIST[Email], "") = "", "",
      _xlfn.XLOOKUP(C_1[[#This Row],[OWNER NAME 1]], OWNER_LIST[Owner Name], OWNER_LIST[Email], "")))</f>
        <v>#VALUE!</v>
      </c>
      <c r="V224" s="75" t="e">
        <f>IF(C_1[[#This Row],[OWNER NAME 2]] = "", "",
   IF(_xlfn.XLOOKUP(C_1[[#This Row],[OWNER NAME 2]],OWNER_LIST[Owner Name], OWNER_LIST[Email], "") = "", "",
      _xlfn.XLOOKUP(C_1[[#This Row],[OWNER NAME 2]], OWNER_LIST[Owner Name], OWNER_LIST[Email], "")))</f>
        <v>#VALUE!</v>
      </c>
      <c r="W224" s="75" t="str">
        <f>'Bldg C 12WLOA'!$A$37</f>
        <v>C1</v>
      </c>
      <c r="X224" s="75" t="e">
        <f>IF(
    OR(
        AND(
            NOT(ISBLANK(C_1[[#This Row],[DESCRIPTION -  INFORMATION LOG]])),
            C_1[[#This Row],[DESCRIPTION -  INFORMATION LOG]] &lt;&gt; "DESCRIPTION -  INFORMATION LOG"
        ),
        NOT(ISBLANK(C_1[[#This Row],[ACTION REQUIRED]]))
    ),
    "Y",
    "N"
)</f>
        <v>#VALUE!</v>
      </c>
    </row>
    <row r="225" spans="1:24" ht="30.75">
      <c r="A225" s="129" t="s">
        <v>294</v>
      </c>
      <c r="B225" s="211" t="s">
        <v>1207</v>
      </c>
      <c r="C225" s="152"/>
      <c r="D225" s="144" t="s">
        <v>74</v>
      </c>
      <c r="E225" s="129" t="s">
        <v>1208</v>
      </c>
      <c r="F225" s="129"/>
      <c r="G225" s="195" t="s">
        <v>85</v>
      </c>
      <c r="H225" s="93"/>
      <c r="I225" s="132"/>
      <c r="J225" s="83"/>
      <c r="K225" s="83"/>
      <c r="L225" s="83"/>
      <c r="M225" s="133"/>
      <c r="N225" s="207"/>
      <c r="O225" s="208"/>
      <c r="P225" s="208"/>
      <c r="Q225" s="75"/>
      <c r="R225" s="75" t="e">
        <f xml:space="preserve"> _xlfn.CONCAT(C_1[[#This Row],[ESCALATE]], "-",C_1[[#This Row],[Row_PM]])</f>
        <v>#VALUE!</v>
      </c>
      <c r="S225" s="75" t="e">
        <f xml:space="preserve"> _xlfn.CONCAT(C_1[[#This Row],[ESCALATE]], "-",C_1[[#This Row],[Notify_PM]])</f>
        <v>#VALUE!</v>
      </c>
      <c r="T225" s="75">
        <f>ROW()</f>
        <v>225</v>
      </c>
      <c r="U225" s="75" t="e">
        <f>IF(C_1[[#This Row],[OWNER NAME 1]] = "", "",
   IF(_xlfn.XLOOKUP(C_1[[#This Row],[OWNER NAME 1]],OWNER_LIST[Owner Name], OWNER_LIST[Email], "") = "", "",
      _xlfn.XLOOKUP(C_1[[#This Row],[OWNER NAME 1]], OWNER_LIST[Owner Name], OWNER_LIST[Email], "")))</f>
        <v>#VALUE!</v>
      </c>
      <c r="V225" s="75" t="e">
        <f>IF(C_1[[#This Row],[OWNER NAME 2]] = "", "",
   IF(_xlfn.XLOOKUP(C_1[[#This Row],[OWNER NAME 2]],OWNER_LIST[Owner Name], OWNER_LIST[Email], "") = "", "",
      _xlfn.XLOOKUP(C_1[[#This Row],[OWNER NAME 2]], OWNER_LIST[Owner Name], OWNER_LIST[Email], "")))</f>
        <v>#VALUE!</v>
      </c>
      <c r="W225" s="75" t="str">
        <f>'Bldg C 12WLOA'!$A$37</f>
        <v>C1</v>
      </c>
      <c r="X225" s="75" t="e">
        <f>IF(
    OR(
        AND(
            NOT(ISBLANK(C_1[[#This Row],[DESCRIPTION -  INFORMATION LOG]])),
            C_1[[#This Row],[DESCRIPTION -  INFORMATION LOG]] &lt;&gt; "DESCRIPTION -  INFORMATION LOG"
        ),
        NOT(ISBLANK(C_1[[#This Row],[ACTION REQUIRED]]))
    ),
    "Y",
    "N"
)</f>
        <v>#VALUE!</v>
      </c>
    </row>
    <row r="226" spans="1:24" ht="60.75">
      <c r="A226" s="129" t="s">
        <v>1209</v>
      </c>
      <c r="B226" s="129" t="s">
        <v>1210</v>
      </c>
      <c r="C226" s="152"/>
      <c r="D226" s="144" t="s">
        <v>74</v>
      </c>
      <c r="E226" s="129" t="s">
        <v>1211</v>
      </c>
      <c r="F226" s="129" t="s">
        <v>1212</v>
      </c>
      <c r="G226" s="195" t="s">
        <v>90</v>
      </c>
      <c r="H226" s="156">
        <v>45818</v>
      </c>
      <c r="I226" s="132" t="str" cm="1">
        <f t="array" ref="I226">IFERROR(_xlfn.TEXTJOIN(" / ", TRUE, IF(OWNER_LIST[Owner Name]=C_1[[#This Row],[OWNER NAME 1]], OWNER_LIST[Owner ORG], ""), IF(OWNER_LIST[Owner Name]=C_1[[#This Row],[OWNER NAME 2]], OWNER_LIST[Owner ORG], "")), "")</f>
        <v/>
      </c>
      <c r="J226" s="143" t="s">
        <v>98</v>
      </c>
      <c r="K226" s="143"/>
      <c r="L226" s="143"/>
      <c r="M226" s="133"/>
      <c r="N226" s="207"/>
      <c r="O226" s="208"/>
      <c r="P226" s="127"/>
      <c r="Q226" s="75"/>
      <c r="R226" s="75" t="e">
        <f xml:space="preserve"> _xlfn.CONCAT(C_1[[#This Row],[ESCALATE]], "-",C_1[[#This Row],[Row_PM]])</f>
        <v>#VALUE!</v>
      </c>
      <c r="S226" s="75" t="e">
        <f xml:space="preserve"> _xlfn.CONCAT(C_1[[#This Row],[ESCALATE]], "-",C_1[[#This Row],[Notify_PM]])</f>
        <v>#VALUE!</v>
      </c>
      <c r="T226" s="88">
        <f>ROW()</f>
        <v>226</v>
      </c>
      <c r="U226" s="77" t="e">
        <f>IF(C_1[[#This Row],[OWNER NAME 1]] = "", "",
   IF(_xlfn.XLOOKUP(C_1[[#This Row],[OWNER NAME 1]],OWNER_LIST[Owner Name], OWNER_LIST[Email], "") = "", "",
      _xlfn.XLOOKUP(C_1[[#This Row],[OWNER NAME 1]], OWNER_LIST[Owner Name], OWNER_LIST[Email], "")))</f>
        <v>#VALUE!</v>
      </c>
      <c r="V226" s="77" t="e">
        <f>IF(C_1[[#This Row],[OWNER NAME 2]] = "", "",
   IF(_xlfn.XLOOKUP(C_1[[#This Row],[OWNER NAME 2]],OWNER_LIST[Owner Name], OWNER_LIST[Email], "") = "", "",
      _xlfn.XLOOKUP(C_1[[#This Row],[OWNER NAME 2]], OWNER_LIST[Owner Name], OWNER_LIST[Email], "")))</f>
        <v>#VALUE!</v>
      </c>
      <c r="W226" s="88" t="str">
        <f>'Bldg C 12WLOA'!$A$37</f>
        <v>C1</v>
      </c>
      <c r="X226" s="89" t="e">
        <f>IF(
    OR(
        AND(
            NOT(ISBLANK(C_1[[#This Row],[DESCRIPTION -  INFORMATION LOG]])),
            C_1[[#This Row],[DESCRIPTION -  INFORMATION LOG]] &lt;&gt; "DESCRIPTION -  INFORMATION LOG"
        ),
        NOT(ISBLANK(C_1[[#This Row],[ACTION REQUIRED]]))
    ),
    "Y",
    "N"
)</f>
        <v>#VALUE!</v>
      </c>
    </row>
  </sheetData>
  <conditionalFormatting sqref="A3:F184 A221:F223">
    <cfRule type="expression" dxfId="53" priority="125">
      <formula>TRIM($D$243)="CLOSED"</formula>
    </cfRule>
  </conditionalFormatting>
  <conditionalFormatting sqref="A185:F219">
    <cfRule type="expression" dxfId="52" priority="37">
      <formula>TRIM($D$243)="CLOSED"</formula>
    </cfRule>
  </conditionalFormatting>
  <conditionalFormatting sqref="D3">
    <cfRule type="containsText" dxfId="51" priority="126" operator="containsText" text="Action (New)">
      <formula>NOT(ISERROR(SEARCH("Action (New)",D3)))</formula>
    </cfRule>
  </conditionalFormatting>
  <conditionalFormatting sqref="D5 D7:D10 D13 D15 D19:D25">
    <cfRule type="containsText" dxfId="50" priority="127" operator="containsText" text="Action (New)">
      <formula>NOT(ISERROR(SEARCH("Action (New)",D5)))</formula>
    </cfRule>
  </conditionalFormatting>
  <conditionalFormatting sqref="G2">
    <cfRule type="cellIs" dxfId="49" priority="121" operator="equal">
      <formula>"Low"</formula>
    </cfRule>
    <cfRule type="cellIs" dxfId="48" priority="122" operator="equal">
      <formula>"Medium"</formula>
    </cfRule>
    <cfRule type="cellIs" dxfId="47" priority="123" operator="equal">
      <formula>"High"</formula>
    </cfRule>
    <cfRule type="cellIs" dxfId="46" priority="124" operator="equal">
      <formula>"TOP"</formula>
    </cfRule>
  </conditionalFormatting>
  <conditionalFormatting sqref="G224:G226">
    <cfRule type="containsText" dxfId="45" priority="1" operator="containsText" text="TOP">
      <formula>NOT(ISERROR(SEARCH("TOP",G224)))</formula>
    </cfRule>
    <cfRule type="containsText" dxfId="44" priority="2" operator="containsText" text="Medium">
      <formula>NOT(ISERROR(SEARCH("Medium",G224)))</formula>
    </cfRule>
    <cfRule type="containsText" dxfId="43" priority="3" operator="containsText" text="High">
      <formula>NOT(ISERROR(SEARCH("High",G224)))</formula>
    </cfRule>
    <cfRule type="containsText" dxfId="42" priority="4" operator="containsText" text="Low">
      <formula>NOT(ISERROR(SEARCH("Low",G224)))</formula>
    </cfRule>
  </conditionalFormatting>
  <conditionalFormatting sqref="G3:T14 W3:W21 G15:L20 O15:T21 M15:N46 I21:L21 H21:H43 G221:G223 G21:G219">
    <cfRule type="expression" dxfId="41" priority="128">
      <formula>TRIM(#REF!)="CLOSED"</formula>
    </cfRule>
  </conditionalFormatting>
  <dataValidations count="10">
    <dataValidation type="date" operator="greaterThan" allowBlank="1" showInputMessage="1" showErrorMessage="1" sqref="M3:N184 H3:H184" xr:uid="{B7D955BA-65D3-4F83-82A0-1D8422FA6E68}">
      <formula1>44562</formula1>
    </dataValidation>
    <dataValidation type="list" allowBlank="1" showInputMessage="1" showErrorMessage="1" sqref="I3:I21" xr:uid="{C32D7552-009C-4B99-9C59-DC6F14E087BB}">
      <formula1>INDIRECT("Data_lists!Owner_org[Owner org]")</formula1>
    </dataValidation>
    <dataValidation type="list" allowBlank="1" showInputMessage="1" showErrorMessage="1" sqref="J3:K21" xr:uid="{FD55CEEE-FABA-4C43-9F5A-EB7C91B88A54}">
      <formula1>INDIRECT("Owner_List[Owner Name]")</formula1>
    </dataValidation>
    <dataValidation type="list" allowBlank="1" showInputMessage="1" showErrorMessage="1" sqref="L3:L21" xr:uid="{50FD0718-7D3C-43AF-886F-CDCCDE218B2A}">
      <formula1>INDIRECT("Data_lists!discipline_list[DISCIPLINE]")</formula1>
    </dataValidation>
    <dataValidation type="list" allowBlank="1" showInputMessage="1" showErrorMessage="1" sqref="C204:C206 C211:C219 C221:C226 C3:C201" xr:uid="{9E0B5599-5F90-464E-B03D-3EA841A18923}">
      <formula1>"ACTION, INFO, ACTION (New), INFO (New)"</formula1>
    </dataValidation>
    <dataValidation type="list" allowBlank="1" showInputMessage="1" showErrorMessage="1" sqref="P2" xr:uid="{43BA1938-7BBE-4619-BF2B-3A4EB2BE2385}">
      <formula1>"PM"</formula1>
    </dataValidation>
    <dataValidation type="list" allowBlank="1" showInputMessage="1" showErrorMessage="1" sqref="G2 G185:G219 G221:G226" xr:uid="{19796090-B09E-4CC1-AD0E-257981B22F01}">
      <formula1>"Low, Medium, High, TOP"</formula1>
    </dataValidation>
    <dataValidation type="date" operator="greaterThan" allowBlank="1" showInputMessage="1" showErrorMessage="1" sqref="M2:N2 M185:N185 M187:N206 H204:H206 M211:N219 M221:N226" xr:uid="{F0D8EDF8-B0D5-4DC9-A7A8-F0039B57D4FA}">
      <formula1>45292</formula1>
    </dataValidation>
    <dataValidation allowBlank="1" showInputMessage="1" showErrorMessage="1" sqref="E191:E192 E219 E221" xr:uid="{731136D1-BB7F-4B77-9C7D-CC3F7551EF78}"/>
    <dataValidation type="list" allowBlank="1" showInputMessage="1" showErrorMessage="1" sqref="D221:D226 D3:D219" xr:uid="{3DF32F3B-4B74-4E2E-8B21-1136FBB9A139}">
      <formula1>"OPEN, CLOSED"</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33B72C0A-6884-4003-B1C2-A6493E4DC9C9}">
          <x14:formula1>
            <xm:f>DELEGATE!$A$2:$A$8</xm:f>
          </x14:formula1>
          <xm:sqref>O2 O185 O187:O206 O211:O219 O221:O226</xm:sqref>
        </x14:dataValidation>
        <x14:dataValidation type="list" allowBlank="1" showInputMessage="1" showErrorMessage="1" xr:uid="{E82C4FC1-50DE-4D49-832B-3A10F00957B6}">
          <x14:formula1>
            <xm:f>DISCIPLINE!$A$2:$A$46</xm:f>
          </x14:formula1>
          <xm:sqref>L2 L185 L187:L206 L211:L219 L221:L226</xm:sqref>
        </x14:dataValidation>
        <x14:dataValidation type="list" allowBlank="1" showInputMessage="1" showErrorMessage="1" xr:uid="{18A5345C-17E1-4CB6-AC00-CB2D32242B16}">
          <x14:formula1>
            <xm:f>'OWNER LIST'!$A$2:$A$220</xm:f>
          </x14:formula1>
          <xm:sqref>J2:K2 J221:K226 J211:K219 Y198:Z198 J209:J210 J187:K208 J186:X186 J185:K185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B38B2-F7D7-4A3A-B184-08B377CB72B8}">
  <dimension ref="A1:H220"/>
  <sheetViews>
    <sheetView topLeftCell="A200" workbookViewId="0">
      <selection sqref="A1:H220"/>
    </sheetView>
  </sheetViews>
  <sheetFormatPr defaultRowHeight="14.45"/>
  <cols>
    <col min="1" max="1" width="31.85546875" customWidth="1"/>
    <col min="2" max="2" width="35.28515625" customWidth="1"/>
    <col min="3" max="3" width="14" bestFit="1" customWidth="1"/>
    <col min="4" max="4" width="26.5703125" customWidth="1"/>
    <col min="5" max="5" width="12.5703125" bestFit="1" customWidth="1"/>
    <col min="6" max="6" width="16.28515625" bestFit="1" customWidth="1"/>
    <col min="7" max="7" width="24" bestFit="1" customWidth="1"/>
    <col min="8" max="8" width="12.85546875" bestFit="1" customWidth="1"/>
  </cols>
  <sheetData>
    <row r="1" spans="1:8">
      <c r="A1" t="s">
        <v>1213</v>
      </c>
      <c r="B1" t="s">
        <v>1214</v>
      </c>
      <c r="C1" t="s">
        <v>1215</v>
      </c>
      <c r="D1" t="s">
        <v>1216</v>
      </c>
      <c r="E1" t="s">
        <v>1217</v>
      </c>
      <c r="F1" t="s">
        <v>1218</v>
      </c>
      <c r="G1" t="s">
        <v>1219</v>
      </c>
      <c r="H1" t="s">
        <v>1220</v>
      </c>
    </row>
    <row r="2" spans="1:8">
      <c r="A2" t="s">
        <v>383</v>
      </c>
      <c r="B2" t="s">
        <v>1221</v>
      </c>
      <c r="C2" t="s">
        <v>1222</v>
      </c>
      <c r="D2" t="s">
        <v>1223</v>
      </c>
      <c r="E2" t="s">
        <v>1224</v>
      </c>
      <c r="F2" t="s">
        <v>1225</v>
      </c>
      <c r="G2" t="s">
        <v>1226</v>
      </c>
    </row>
    <row r="3" spans="1:8">
      <c r="A3" t="s">
        <v>1227</v>
      </c>
      <c r="B3" t="s">
        <v>1228</v>
      </c>
      <c r="C3" t="s">
        <v>1229</v>
      </c>
      <c r="D3" t="s">
        <v>1230</v>
      </c>
      <c r="E3" t="s">
        <v>1224</v>
      </c>
      <c r="G3" t="s">
        <v>1231</v>
      </c>
    </row>
    <row r="4" spans="1:8">
      <c r="A4" t="s">
        <v>1232</v>
      </c>
      <c r="B4" t="s">
        <v>1233</v>
      </c>
      <c r="C4" t="s">
        <v>1234</v>
      </c>
      <c r="D4" t="s">
        <v>1235</v>
      </c>
      <c r="E4" t="s">
        <v>1234</v>
      </c>
      <c r="G4" t="s">
        <v>1236</v>
      </c>
    </row>
    <row r="5" spans="1:8">
      <c r="A5" t="s">
        <v>1237</v>
      </c>
      <c r="B5" t="s">
        <v>1238</v>
      </c>
      <c r="C5" t="s">
        <v>1239</v>
      </c>
      <c r="D5" t="s">
        <v>1223</v>
      </c>
      <c r="E5" t="s">
        <v>1240</v>
      </c>
      <c r="G5" t="s">
        <v>1241</v>
      </c>
    </row>
    <row r="6" spans="1:8">
      <c r="A6" t="s">
        <v>1242</v>
      </c>
      <c r="B6" t="s">
        <v>1243</v>
      </c>
      <c r="C6" t="s">
        <v>1244</v>
      </c>
      <c r="D6" t="s">
        <v>1245</v>
      </c>
      <c r="E6" t="s">
        <v>1244</v>
      </c>
      <c r="G6" t="s">
        <v>1246</v>
      </c>
    </row>
    <row r="7" spans="1:8">
      <c r="A7" t="s">
        <v>1247</v>
      </c>
      <c r="B7" t="s">
        <v>1248</v>
      </c>
      <c r="D7" t="s">
        <v>1249</v>
      </c>
      <c r="G7" t="s">
        <v>1250</v>
      </c>
    </row>
    <row r="8" spans="1:8">
      <c r="A8" t="s">
        <v>1251</v>
      </c>
    </row>
    <row r="9" spans="1:8">
      <c r="A9" t="s">
        <v>1252</v>
      </c>
      <c r="B9" t="s">
        <v>1253</v>
      </c>
      <c r="C9" t="s">
        <v>1234</v>
      </c>
      <c r="D9" t="s">
        <v>1245</v>
      </c>
      <c r="E9" t="s">
        <v>1234</v>
      </c>
      <c r="G9" t="s">
        <v>1254</v>
      </c>
    </row>
    <row r="10" spans="1:8">
      <c r="A10" t="s">
        <v>115</v>
      </c>
      <c r="B10" t="s">
        <v>1255</v>
      </c>
      <c r="C10" t="s">
        <v>1240</v>
      </c>
      <c r="D10" t="s">
        <v>1256</v>
      </c>
      <c r="E10" t="s">
        <v>1240</v>
      </c>
      <c r="G10" t="s">
        <v>1257</v>
      </c>
    </row>
    <row r="11" spans="1:8">
      <c r="A11" t="s">
        <v>1258</v>
      </c>
      <c r="B11" t="s">
        <v>1259</v>
      </c>
      <c r="C11" t="s">
        <v>1260</v>
      </c>
      <c r="D11" t="s">
        <v>1223</v>
      </c>
      <c r="E11" t="s">
        <v>1260</v>
      </c>
      <c r="G11" t="s">
        <v>1261</v>
      </c>
    </row>
    <row r="12" spans="1:8">
      <c r="A12" t="s">
        <v>170</v>
      </c>
      <c r="B12" t="s">
        <v>1262</v>
      </c>
      <c r="C12" t="s">
        <v>1244</v>
      </c>
      <c r="D12" t="s">
        <v>1263</v>
      </c>
      <c r="E12" t="s">
        <v>1244</v>
      </c>
      <c r="G12" t="s">
        <v>1261</v>
      </c>
    </row>
    <row r="13" spans="1:8">
      <c r="A13" t="s">
        <v>1264</v>
      </c>
      <c r="B13" t="s">
        <v>1265</v>
      </c>
      <c r="C13" t="s">
        <v>1224</v>
      </c>
      <c r="D13" t="s">
        <v>1266</v>
      </c>
      <c r="E13" t="s">
        <v>1224</v>
      </c>
      <c r="G13" t="s">
        <v>1267</v>
      </c>
    </row>
    <row r="14" spans="1:8">
      <c r="A14" t="s">
        <v>1268</v>
      </c>
      <c r="B14" t="s">
        <v>1269</v>
      </c>
      <c r="D14" t="s">
        <v>1270</v>
      </c>
      <c r="G14" t="s">
        <v>1261</v>
      </c>
    </row>
    <row r="15" spans="1:8">
      <c r="A15" t="s">
        <v>1271</v>
      </c>
      <c r="B15" t="s">
        <v>1272</v>
      </c>
      <c r="C15" t="s">
        <v>1273</v>
      </c>
      <c r="D15" t="s">
        <v>1223</v>
      </c>
      <c r="E15" t="s">
        <v>1273</v>
      </c>
      <c r="G15" t="s">
        <v>1274</v>
      </c>
    </row>
    <row r="16" spans="1:8">
      <c r="A16" t="s">
        <v>1275</v>
      </c>
      <c r="B16" t="s">
        <v>1276</v>
      </c>
      <c r="C16" t="s">
        <v>1277</v>
      </c>
      <c r="D16" t="s">
        <v>1278</v>
      </c>
      <c r="E16" t="s">
        <v>1277</v>
      </c>
      <c r="G16" t="s">
        <v>1279</v>
      </c>
    </row>
    <row r="17" spans="1:7">
      <c r="A17" t="s">
        <v>1280</v>
      </c>
      <c r="B17" t="s">
        <v>1281</v>
      </c>
      <c r="C17" t="s">
        <v>1282</v>
      </c>
      <c r="D17" t="s">
        <v>1223</v>
      </c>
      <c r="E17" t="s">
        <v>1224</v>
      </c>
      <c r="G17" t="s">
        <v>1283</v>
      </c>
    </row>
    <row r="18" spans="1:7">
      <c r="A18" t="s">
        <v>42</v>
      </c>
      <c r="B18" t="s">
        <v>1284</v>
      </c>
      <c r="C18" t="s">
        <v>1244</v>
      </c>
      <c r="D18" t="s">
        <v>1285</v>
      </c>
      <c r="E18" t="s">
        <v>1244</v>
      </c>
      <c r="G18" t="s">
        <v>1286</v>
      </c>
    </row>
    <row r="19" spans="1:7">
      <c r="A19" t="s">
        <v>1287</v>
      </c>
      <c r="B19" t="s">
        <v>1288</v>
      </c>
      <c r="C19" t="s">
        <v>1289</v>
      </c>
      <c r="D19" t="s">
        <v>1223</v>
      </c>
      <c r="E19" t="s">
        <v>1224</v>
      </c>
      <c r="G19" t="s">
        <v>1290</v>
      </c>
    </row>
    <row r="20" spans="1:7">
      <c r="A20" s="189" t="s">
        <v>1291</v>
      </c>
      <c r="B20" s="150" t="s">
        <v>1292</v>
      </c>
      <c r="C20" s="190" t="s">
        <v>1222</v>
      </c>
      <c r="D20" s="191" t="s">
        <v>1223</v>
      </c>
      <c r="E20" s="190" t="s">
        <v>1224</v>
      </c>
      <c r="F20" s="190"/>
      <c r="G20" s="192" t="s">
        <v>1291</v>
      </c>
    </row>
    <row r="21" spans="1:7">
      <c r="A21" t="s">
        <v>1293</v>
      </c>
      <c r="B21" t="s">
        <v>1294</v>
      </c>
      <c r="C21" t="s">
        <v>1234</v>
      </c>
      <c r="D21" t="s">
        <v>1245</v>
      </c>
      <c r="E21" t="s">
        <v>1234</v>
      </c>
      <c r="G21" t="s">
        <v>1295</v>
      </c>
    </row>
    <row r="22" spans="1:7">
      <c r="A22" t="s">
        <v>1296</v>
      </c>
      <c r="B22" t="s">
        <v>1297</v>
      </c>
      <c r="D22" t="s">
        <v>1298</v>
      </c>
      <c r="G22" t="s">
        <v>1299</v>
      </c>
    </row>
    <row r="23" spans="1:7">
      <c r="A23" t="s">
        <v>1300</v>
      </c>
      <c r="B23" t="s">
        <v>1265</v>
      </c>
      <c r="C23" t="s">
        <v>1224</v>
      </c>
      <c r="D23" t="s">
        <v>1301</v>
      </c>
      <c r="E23" t="s">
        <v>1224</v>
      </c>
      <c r="G23" t="s">
        <v>1267</v>
      </c>
    </row>
    <row r="24" spans="1:7">
      <c r="A24" t="s">
        <v>1302</v>
      </c>
      <c r="B24" t="s">
        <v>1303</v>
      </c>
      <c r="C24" t="s">
        <v>1234</v>
      </c>
      <c r="D24" t="s">
        <v>1245</v>
      </c>
      <c r="E24" t="s">
        <v>1234</v>
      </c>
      <c r="G24" t="s">
        <v>1304</v>
      </c>
    </row>
    <row r="25" spans="1:7">
      <c r="A25" t="s">
        <v>1305</v>
      </c>
      <c r="B25" t="s">
        <v>1306</v>
      </c>
      <c r="C25" t="s">
        <v>1224</v>
      </c>
      <c r="D25" t="s">
        <v>1301</v>
      </c>
      <c r="E25" t="s">
        <v>1224</v>
      </c>
      <c r="G25" t="s">
        <v>1307</v>
      </c>
    </row>
    <row r="26" spans="1:7">
      <c r="A26" t="s">
        <v>43</v>
      </c>
      <c r="B26" t="s">
        <v>1308</v>
      </c>
      <c r="C26" t="s">
        <v>1224</v>
      </c>
      <c r="D26" t="s">
        <v>1230</v>
      </c>
      <c r="E26" t="s">
        <v>1224</v>
      </c>
      <c r="G26" t="s">
        <v>1309</v>
      </c>
    </row>
    <row r="27" spans="1:7">
      <c r="A27" t="s">
        <v>38</v>
      </c>
      <c r="B27" t="s">
        <v>1310</v>
      </c>
      <c r="C27" t="s">
        <v>1244</v>
      </c>
      <c r="D27" t="s">
        <v>1230</v>
      </c>
      <c r="E27" t="s">
        <v>1244</v>
      </c>
      <c r="G27" t="s">
        <v>1309</v>
      </c>
    </row>
    <row r="28" spans="1:7">
      <c r="A28" t="s">
        <v>1311</v>
      </c>
      <c r="B28" t="s">
        <v>1312</v>
      </c>
      <c r="C28" t="s">
        <v>1244</v>
      </c>
      <c r="D28" t="s">
        <v>1313</v>
      </c>
      <c r="E28" t="s">
        <v>1244</v>
      </c>
      <c r="G28" t="s">
        <v>1314</v>
      </c>
    </row>
    <row r="29" spans="1:7">
      <c r="A29" t="s">
        <v>29</v>
      </c>
      <c r="B29" t="s">
        <v>1315</v>
      </c>
      <c r="C29" t="s">
        <v>1240</v>
      </c>
      <c r="D29" t="s">
        <v>1316</v>
      </c>
      <c r="E29" t="s">
        <v>1240</v>
      </c>
      <c r="G29" t="s">
        <v>1317</v>
      </c>
    </row>
    <row r="30" spans="1:7">
      <c r="A30" t="s">
        <v>1318</v>
      </c>
      <c r="B30" t="s">
        <v>1319</v>
      </c>
      <c r="C30" t="s">
        <v>1234</v>
      </c>
      <c r="D30" t="s">
        <v>1245</v>
      </c>
      <c r="E30" t="s">
        <v>1234</v>
      </c>
      <c r="G30" t="s">
        <v>1320</v>
      </c>
    </row>
    <row r="31" spans="1:7">
      <c r="A31" t="s">
        <v>1321</v>
      </c>
      <c r="B31" t="s">
        <v>1322</v>
      </c>
      <c r="C31" t="s">
        <v>1240</v>
      </c>
      <c r="D31" t="s">
        <v>1230</v>
      </c>
      <c r="E31" t="s">
        <v>1240</v>
      </c>
      <c r="G31" t="s">
        <v>1323</v>
      </c>
    </row>
    <row r="32" spans="1:7">
      <c r="A32" t="s">
        <v>668</v>
      </c>
      <c r="B32" t="s">
        <v>1324</v>
      </c>
      <c r="C32" t="s">
        <v>1244</v>
      </c>
      <c r="D32" t="s">
        <v>1325</v>
      </c>
      <c r="E32" t="s">
        <v>1244</v>
      </c>
      <c r="G32" t="s">
        <v>1326</v>
      </c>
    </row>
    <row r="33" spans="1:7">
      <c r="A33" t="s">
        <v>134</v>
      </c>
      <c r="B33" t="s">
        <v>1327</v>
      </c>
      <c r="C33" t="s">
        <v>1234</v>
      </c>
      <c r="D33" t="s">
        <v>1245</v>
      </c>
      <c r="E33" t="s">
        <v>1234</v>
      </c>
      <c r="G33" t="s">
        <v>1328</v>
      </c>
    </row>
    <row r="34" spans="1:7">
      <c r="A34" t="s">
        <v>1329</v>
      </c>
      <c r="B34" t="s">
        <v>1330</v>
      </c>
      <c r="C34" t="s">
        <v>1260</v>
      </c>
      <c r="D34" t="s">
        <v>1331</v>
      </c>
      <c r="E34" t="s">
        <v>1260</v>
      </c>
      <c r="G34" t="s">
        <v>1332</v>
      </c>
    </row>
    <row r="35" spans="1:7">
      <c r="A35" t="s">
        <v>1333</v>
      </c>
      <c r="B35" t="s">
        <v>1334</v>
      </c>
      <c r="C35" t="s">
        <v>1260</v>
      </c>
      <c r="D35" t="s">
        <v>1335</v>
      </c>
      <c r="E35" t="s">
        <v>1260</v>
      </c>
      <c r="G35" t="s">
        <v>1336</v>
      </c>
    </row>
    <row r="36" spans="1:7">
      <c r="A36" t="s">
        <v>1337</v>
      </c>
      <c r="B36" t="s">
        <v>1338</v>
      </c>
      <c r="C36" t="s">
        <v>1234</v>
      </c>
      <c r="D36" t="s">
        <v>1339</v>
      </c>
      <c r="E36" t="s">
        <v>1234</v>
      </c>
      <c r="G36" t="s">
        <v>1340</v>
      </c>
    </row>
    <row r="37" spans="1:7">
      <c r="A37" t="s">
        <v>1341</v>
      </c>
      <c r="B37" t="s">
        <v>1342</v>
      </c>
      <c r="C37" t="s">
        <v>1343</v>
      </c>
      <c r="D37" t="s">
        <v>1223</v>
      </c>
      <c r="E37" t="s">
        <v>1224</v>
      </c>
      <c r="G37" t="s">
        <v>1344</v>
      </c>
    </row>
    <row r="38" spans="1:7">
      <c r="A38" t="s">
        <v>1345</v>
      </c>
      <c r="B38" t="s">
        <v>1346</v>
      </c>
      <c r="C38" t="s">
        <v>1273</v>
      </c>
      <c r="D38" t="s">
        <v>1223</v>
      </c>
      <c r="E38" t="s">
        <v>1273</v>
      </c>
      <c r="G38" t="s">
        <v>1344</v>
      </c>
    </row>
    <row r="39" spans="1:7">
      <c r="A39" t="s">
        <v>1347</v>
      </c>
      <c r="B39" t="s">
        <v>1348</v>
      </c>
      <c r="C39" t="s">
        <v>1224</v>
      </c>
      <c r="D39" t="s">
        <v>1223</v>
      </c>
      <c r="E39" t="s">
        <v>1224</v>
      </c>
      <c r="G39" t="s">
        <v>1349</v>
      </c>
    </row>
    <row r="40" spans="1:7">
      <c r="A40" t="s">
        <v>1096</v>
      </c>
      <c r="B40" t="s">
        <v>1350</v>
      </c>
      <c r="C40" t="s">
        <v>1244</v>
      </c>
      <c r="D40" t="s">
        <v>1351</v>
      </c>
      <c r="E40" t="s">
        <v>1244</v>
      </c>
      <c r="G40" t="s">
        <v>1352</v>
      </c>
    </row>
    <row r="41" spans="1:7">
      <c r="A41" t="s">
        <v>1353</v>
      </c>
      <c r="B41" t="s">
        <v>1354</v>
      </c>
      <c r="C41" t="s">
        <v>1224</v>
      </c>
      <c r="D41" t="s">
        <v>1223</v>
      </c>
      <c r="E41" t="s">
        <v>1224</v>
      </c>
      <c r="G41" t="s">
        <v>1355</v>
      </c>
    </row>
    <row r="42" spans="1:7">
      <c r="A42" t="s">
        <v>1356</v>
      </c>
      <c r="B42" t="s">
        <v>1357</v>
      </c>
      <c r="C42" t="s">
        <v>1244</v>
      </c>
      <c r="D42" t="s">
        <v>1358</v>
      </c>
      <c r="E42" t="s">
        <v>1244</v>
      </c>
      <c r="G42" t="s">
        <v>1355</v>
      </c>
    </row>
    <row r="43" spans="1:7">
      <c r="A43" t="s">
        <v>1359</v>
      </c>
      <c r="B43" t="s">
        <v>1360</v>
      </c>
      <c r="D43" t="s">
        <v>1361</v>
      </c>
      <c r="G43" t="s">
        <v>1355</v>
      </c>
    </row>
    <row r="44" spans="1:7">
      <c r="A44" t="s">
        <v>98</v>
      </c>
      <c r="B44" t="s">
        <v>1362</v>
      </c>
      <c r="C44" t="s">
        <v>1240</v>
      </c>
      <c r="D44" t="s">
        <v>1313</v>
      </c>
      <c r="E44" t="s">
        <v>1240</v>
      </c>
      <c r="G44" t="s">
        <v>1363</v>
      </c>
    </row>
    <row r="45" spans="1:7">
      <c r="A45" t="s">
        <v>1364</v>
      </c>
      <c r="B45" t="s">
        <v>1365</v>
      </c>
      <c r="C45" t="s">
        <v>1244</v>
      </c>
      <c r="D45" t="s">
        <v>1366</v>
      </c>
      <c r="E45" t="s">
        <v>1244</v>
      </c>
      <c r="G45" t="s">
        <v>1367</v>
      </c>
    </row>
    <row r="46" spans="1:7">
      <c r="A46" t="s">
        <v>256</v>
      </c>
      <c r="B46" t="s">
        <v>1368</v>
      </c>
      <c r="C46" t="s">
        <v>1244</v>
      </c>
      <c r="D46" t="s">
        <v>1369</v>
      </c>
      <c r="E46" t="s">
        <v>1244</v>
      </c>
      <c r="G46" t="s">
        <v>1314</v>
      </c>
    </row>
    <row r="47" spans="1:7">
      <c r="A47" t="s">
        <v>46</v>
      </c>
      <c r="B47" t="s">
        <v>1312</v>
      </c>
      <c r="C47" t="s">
        <v>1244</v>
      </c>
      <c r="D47" t="s">
        <v>1370</v>
      </c>
      <c r="E47" t="s">
        <v>1244</v>
      </c>
      <c r="G47" t="s">
        <v>1314</v>
      </c>
    </row>
    <row r="48" spans="1:7">
      <c r="A48" t="s">
        <v>1371</v>
      </c>
      <c r="B48" t="s">
        <v>1372</v>
      </c>
      <c r="C48" t="s">
        <v>1273</v>
      </c>
      <c r="D48" t="s">
        <v>1223</v>
      </c>
      <c r="E48" t="s">
        <v>1273</v>
      </c>
      <c r="G48" t="s">
        <v>1373</v>
      </c>
    </row>
    <row r="49" spans="1:7">
      <c r="A49" t="s">
        <v>1374</v>
      </c>
      <c r="B49" t="s">
        <v>1375</v>
      </c>
      <c r="C49" t="s">
        <v>1224</v>
      </c>
      <c r="D49" t="s">
        <v>1376</v>
      </c>
      <c r="E49" t="s">
        <v>1224</v>
      </c>
      <c r="G49" t="s">
        <v>1377</v>
      </c>
    </row>
    <row r="50" spans="1:7">
      <c r="A50" t="s">
        <v>1378</v>
      </c>
      <c r="B50" t="s">
        <v>1379</v>
      </c>
      <c r="C50" t="s">
        <v>1273</v>
      </c>
      <c r="D50" t="s">
        <v>1380</v>
      </c>
      <c r="E50" t="s">
        <v>1273</v>
      </c>
      <c r="G50" t="s">
        <v>1381</v>
      </c>
    </row>
    <row r="51" spans="1:7">
      <c r="A51" t="s">
        <v>103</v>
      </c>
      <c r="B51" t="s">
        <v>1221</v>
      </c>
      <c r="C51" t="s">
        <v>1244</v>
      </c>
      <c r="D51" t="s">
        <v>1382</v>
      </c>
      <c r="E51" t="s">
        <v>1244</v>
      </c>
      <c r="G51" t="s">
        <v>1383</v>
      </c>
    </row>
    <row r="52" spans="1:7">
      <c r="A52" t="s">
        <v>1384</v>
      </c>
      <c r="B52" t="s">
        <v>1221</v>
      </c>
      <c r="C52" t="s">
        <v>1244</v>
      </c>
      <c r="D52" t="s">
        <v>1223</v>
      </c>
      <c r="E52" t="s">
        <v>1244</v>
      </c>
      <c r="G52" t="s">
        <v>1383</v>
      </c>
    </row>
    <row r="53" spans="1:7">
      <c r="A53" t="s">
        <v>1385</v>
      </c>
      <c r="B53" t="s">
        <v>1221</v>
      </c>
      <c r="C53" t="s">
        <v>1244</v>
      </c>
      <c r="D53" t="s">
        <v>1223</v>
      </c>
      <c r="E53" t="s">
        <v>1244</v>
      </c>
      <c r="G53" t="s">
        <v>1383</v>
      </c>
    </row>
    <row r="54" spans="1:7">
      <c r="A54" t="s">
        <v>1386</v>
      </c>
      <c r="B54" t="s">
        <v>1221</v>
      </c>
      <c r="C54" t="s">
        <v>1244</v>
      </c>
      <c r="D54" t="s">
        <v>1223</v>
      </c>
      <c r="E54" t="s">
        <v>1244</v>
      </c>
      <c r="G54" t="s">
        <v>1383</v>
      </c>
    </row>
    <row r="55" spans="1:7">
      <c r="A55" t="s">
        <v>1387</v>
      </c>
      <c r="B55" t="s">
        <v>1221</v>
      </c>
      <c r="C55" t="s">
        <v>1244</v>
      </c>
      <c r="D55" t="s">
        <v>1223</v>
      </c>
      <c r="E55" t="s">
        <v>1244</v>
      </c>
      <c r="G55" t="s">
        <v>1383</v>
      </c>
    </row>
    <row r="56" spans="1:7">
      <c r="A56" t="s">
        <v>1384</v>
      </c>
      <c r="B56" t="s">
        <v>1388</v>
      </c>
      <c r="C56" t="s">
        <v>1244</v>
      </c>
      <c r="D56" t="s">
        <v>1223</v>
      </c>
      <c r="E56" t="s">
        <v>1244</v>
      </c>
      <c r="G56" t="s">
        <v>1389</v>
      </c>
    </row>
    <row r="57" spans="1:7">
      <c r="A57" t="s">
        <v>1385</v>
      </c>
      <c r="B57" t="s">
        <v>1388</v>
      </c>
      <c r="C57" t="s">
        <v>1244</v>
      </c>
      <c r="D57" t="s">
        <v>1223</v>
      </c>
      <c r="E57" t="s">
        <v>1244</v>
      </c>
      <c r="G57" t="s">
        <v>1389</v>
      </c>
    </row>
    <row r="58" spans="1:7">
      <c r="A58" t="s">
        <v>1386</v>
      </c>
      <c r="B58" t="s">
        <v>1388</v>
      </c>
      <c r="C58" t="s">
        <v>1244</v>
      </c>
      <c r="D58" t="s">
        <v>1223</v>
      </c>
      <c r="E58" t="s">
        <v>1244</v>
      </c>
      <c r="G58" t="s">
        <v>1389</v>
      </c>
    </row>
    <row r="59" spans="1:7">
      <c r="A59" t="s">
        <v>1387</v>
      </c>
      <c r="B59" t="s">
        <v>1388</v>
      </c>
      <c r="C59" t="s">
        <v>1244</v>
      </c>
      <c r="D59" t="s">
        <v>1223</v>
      </c>
      <c r="E59" t="s">
        <v>1244</v>
      </c>
      <c r="G59" t="s">
        <v>1389</v>
      </c>
    </row>
    <row r="60" spans="1:7">
      <c r="A60" t="s">
        <v>1390</v>
      </c>
      <c r="B60" t="s">
        <v>1391</v>
      </c>
      <c r="C60" t="s">
        <v>1260</v>
      </c>
      <c r="D60" t="s">
        <v>1392</v>
      </c>
      <c r="E60" t="s">
        <v>1260</v>
      </c>
      <c r="G60" t="s">
        <v>1393</v>
      </c>
    </row>
    <row r="61" spans="1:7">
      <c r="A61" t="s">
        <v>147</v>
      </c>
      <c r="B61" t="s">
        <v>1394</v>
      </c>
      <c r="C61" t="s">
        <v>1244</v>
      </c>
      <c r="D61" t="s">
        <v>1395</v>
      </c>
      <c r="E61" t="s">
        <v>1244</v>
      </c>
      <c r="G61" t="s">
        <v>1396</v>
      </c>
    </row>
    <row r="62" spans="1:7">
      <c r="A62" t="s">
        <v>1397</v>
      </c>
      <c r="B62" t="s">
        <v>1398</v>
      </c>
      <c r="C62" t="s">
        <v>1234</v>
      </c>
      <c r="D62" t="s">
        <v>1245</v>
      </c>
      <c r="E62" t="s">
        <v>1234</v>
      </c>
      <c r="G62" t="s">
        <v>1399</v>
      </c>
    </row>
    <row r="63" spans="1:7">
      <c r="A63" t="s">
        <v>1400</v>
      </c>
      <c r="B63" t="s">
        <v>1401</v>
      </c>
      <c r="C63" t="s">
        <v>1234</v>
      </c>
      <c r="D63" t="s">
        <v>1245</v>
      </c>
      <c r="E63" t="s">
        <v>1234</v>
      </c>
      <c r="G63" t="s">
        <v>1402</v>
      </c>
    </row>
    <row r="64" spans="1:7">
      <c r="A64" t="s">
        <v>1403</v>
      </c>
      <c r="B64" t="s">
        <v>1404</v>
      </c>
      <c r="C64" t="s">
        <v>1224</v>
      </c>
      <c r="D64" t="s">
        <v>1405</v>
      </c>
      <c r="E64" t="s">
        <v>1224</v>
      </c>
      <c r="G64" t="s">
        <v>1406</v>
      </c>
    </row>
    <row r="65" spans="1:7">
      <c r="A65" t="s">
        <v>1407</v>
      </c>
      <c r="B65" t="s">
        <v>1408</v>
      </c>
      <c r="C65" t="s">
        <v>1409</v>
      </c>
      <c r="D65" t="s">
        <v>1223</v>
      </c>
      <c r="E65" t="s">
        <v>1240</v>
      </c>
      <c r="G65" t="s">
        <v>1410</v>
      </c>
    </row>
    <row r="66" spans="1:7">
      <c r="A66" t="s">
        <v>1411</v>
      </c>
      <c r="B66" t="s">
        <v>1412</v>
      </c>
      <c r="C66" t="s">
        <v>1260</v>
      </c>
      <c r="D66" t="s">
        <v>1413</v>
      </c>
      <c r="E66" t="s">
        <v>1260</v>
      </c>
      <c r="G66" t="s">
        <v>1414</v>
      </c>
    </row>
    <row r="67" spans="1:7">
      <c r="A67" t="s">
        <v>1415</v>
      </c>
      <c r="B67" t="s">
        <v>1416</v>
      </c>
      <c r="C67" t="s">
        <v>1343</v>
      </c>
      <c r="D67" t="s">
        <v>1223</v>
      </c>
      <c r="E67" t="s">
        <v>1224</v>
      </c>
      <c r="G67" t="s">
        <v>1417</v>
      </c>
    </row>
    <row r="68" spans="1:7">
      <c r="A68" t="s">
        <v>1418</v>
      </c>
      <c r="B68" t="s">
        <v>1419</v>
      </c>
      <c r="C68" t="s">
        <v>1420</v>
      </c>
      <c r="D68" t="s">
        <v>1421</v>
      </c>
      <c r="E68" t="s">
        <v>1240</v>
      </c>
      <c r="G68" t="s">
        <v>1417</v>
      </c>
    </row>
    <row r="69" spans="1:7">
      <c r="A69" t="s">
        <v>1422</v>
      </c>
      <c r="B69" t="s">
        <v>1423</v>
      </c>
      <c r="C69" t="s">
        <v>1244</v>
      </c>
      <c r="D69" t="s">
        <v>1405</v>
      </c>
      <c r="E69" t="s">
        <v>1244</v>
      </c>
      <c r="G69" t="s">
        <v>1417</v>
      </c>
    </row>
    <row r="70" spans="1:7">
      <c r="A70" t="s">
        <v>1424</v>
      </c>
      <c r="B70" t="s">
        <v>1425</v>
      </c>
      <c r="C70" t="s">
        <v>1224</v>
      </c>
      <c r="D70" t="s">
        <v>1223</v>
      </c>
      <c r="E70" t="s">
        <v>1224</v>
      </c>
      <c r="G70" t="s">
        <v>1426</v>
      </c>
    </row>
    <row r="71" spans="1:7">
      <c r="A71" t="s">
        <v>1427</v>
      </c>
      <c r="B71" t="s">
        <v>1428</v>
      </c>
      <c r="C71" t="s">
        <v>1260</v>
      </c>
      <c r="D71" t="s">
        <v>1223</v>
      </c>
      <c r="E71" t="s">
        <v>1240</v>
      </c>
      <c r="G71" t="s">
        <v>1429</v>
      </c>
    </row>
    <row r="72" spans="1:7">
      <c r="A72" t="s">
        <v>28</v>
      </c>
      <c r="B72" t="s">
        <v>1430</v>
      </c>
      <c r="C72" t="s">
        <v>1240</v>
      </c>
      <c r="D72" t="s">
        <v>1431</v>
      </c>
      <c r="E72" t="s">
        <v>1240</v>
      </c>
      <c r="G72" t="s">
        <v>1432</v>
      </c>
    </row>
    <row r="73" spans="1:7">
      <c r="A73" t="s">
        <v>1433</v>
      </c>
      <c r="B73" t="s">
        <v>1434</v>
      </c>
      <c r="C73" t="s">
        <v>1260</v>
      </c>
      <c r="D73" t="s">
        <v>1435</v>
      </c>
      <c r="E73" t="s">
        <v>1260</v>
      </c>
      <c r="G73" t="s">
        <v>1432</v>
      </c>
    </row>
    <row r="74" spans="1:7">
      <c r="A74" t="s">
        <v>1436</v>
      </c>
      <c r="B74" t="s">
        <v>1437</v>
      </c>
      <c r="C74" t="s">
        <v>1222</v>
      </c>
      <c r="D74" t="s">
        <v>1223</v>
      </c>
      <c r="E74" t="s">
        <v>1224</v>
      </c>
      <c r="G74" t="s">
        <v>1438</v>
      </c>
    </row>
    <row r="75" spans="1:7">
      <c r="A75" t="s">
        <v>1439</v>
      </c>
      <c r="B75" t="s">
        <v>1440</v>
      </c>
      <c r="C75" t="s">
        <v>1420</v>
      </c>
      <c r="D75" t="s">
        <v>1441</v>
      </c>
      <c r="E75" t="s">
        <v>1240</v>
      </c>
      <c r="G75" t="s">
        <v>1442</v>
      </c>
    </row>
    <row r="76" spans="1:7">
      <c r="A76" t="s">
        <v>1443</v>
      </c>
      <c r="B76" t="s">
        <v>1444</v>
      </c>
      <c r="C76" t="s">
        <v>1240</v>
      </c>
      <c r="D76" t="s">
        <v>1445</v>
      </c>
      <c r="E76" t="s">
        <v>1240</v>
      </c>
      <c r="G76" t="s">
        <v>1446</v>
      </c>
    </row>
    <row r="77" spans="1:7">
      <c r="A77" t="s">
        <v>1447</v>
      </c>
      <c r="B77" s="25" t="s">
        <v>1448</v>
      </c>
      <c r="C77" t="s">
        <v>1240</v>
      </c>
      <c r="D77" t="s">
        <v>1449</v>
      </c>
      <c r="E77" t="s">
        <v>1240</v>
      </c>
      <c r="G77" t="s">
        <v>1446</v>
      </c>
    </row>
    <row r="78" spans="1:7">
      <c r="A78" t="s">
        <v>1450</v>
      </c>
      <c r="C78" t="s">
        <v>1451</v>
      </c>
      <c r="D78" t="s">
        <v>1223</v>
      </c>
      <c r="E78" t="s">
        <v>1240</v>
      </c>
      <c r="F78" t="s">
        <v>1452</v>
      </c>
      <c r="G78" t="s">
        <v>1453</v>
      </c>
    </row>
    <row r="79" spans="1:7">
      <c r="A79" t="s">
        <v>1454</v>
      </c>
      <c r="B79" t="s">
        <v>1455</v>
      </c>
      <c r="C79" t="s">
        <v>1456</v>
      </c>
      <c r="D79" t="s">
        <v>1223</v>
      </c>
      <c r="E79" t="s">
        <v>1224</v>
      </c>
      <c r="G79" t="s">
        <v>1453</v>
      </c>
    </row>
    <row r="80" spans="1:7">
      <c r="A80" t="s">
        <v>1457</v>
      </c>
      <c r="B80" t="s">
        <v>1458</v>
      </c>
      <c r="C80" t="s">
        <v>1260</v>
      </c>
      <c r="D80" t="s">
        <v>1459</v>
      </c>
      <c r="E80" t="s">
        <v>1260</v>
      </c>
      <c r="G80" t="s">
        <v>1460</v>
      </c>
    </row>
    <row r="81" spans="1:7">
      <c r="A81" t="s">
        <v>1461</v>
      </c>
      <c r="B81" t="s">
        <v>1462</v>
      </c>
      <c r="C81" t="s">
        <v>1260</v>
      </c>
      <c r="D81" t="s">
        <v>1463</v>
      </c>
      <c r="E81" t="s">
        <v>1260</v>
      </c>
      <c r="G81" t="s">
        <v>1464</v>
      </c>
    </row>
    <row r="82" spans="1:7">
      <c r="A82" t="s">
        <v>1465</v>
      </c>
      <c r="B82" t="s">
        <v>1466</v>
      </c>
      <c r="C82" t="s">
        <v>1467</v>
      </c>
      <c r="D82" t="s">
        <v>1467</v>
      </c>
      <c r="E82" t="s">
        <v>1224</v>
      </c>
      <c r="G82" t="s">
        <v>1468</v>
      </c>
    </row>
    <row r="83" spans="1:7">
      <c r="A83" t="s">
        <v>1469</v>
      </c>
      <c r="B83" t="s">
        <v>1470</v>
      </c>
      <c r="C83" t="s">
        <v>1273</v>
      </c>
      <c r="D83" t="s">
        <v>1223</v>
      </c>
      <c r="E83" t="s">
        <v>1273</v>
      </c>
      <c r="G83" t="s">
        <v>1471</v>
      </c>
    </row>
    <row r="84" spans="1:7">
      <c r="A84" t="s">
        <v>1472</v>
      </c>
      <c r="B84" t="s">
        <v>1473</v>
      </c>
      <c r="C84" t="s">
        <v>1277</v>
      </c>
      <c r="D84" t="s">
        <v>1278</v>
      </c>
      <c r="E84" t="s">
        <v>1277</v>
      </c>
      <c r="G84" t="s">
        <v>1474</v>
      </c>
    </row>
    <row r="85" spans="1:7">
      <c r="A85" t="s">
        <v>1475</v>
      </c>
      <c r="B85" t="s">
        <v>1476</v>
      </c>
      <c r="C85" t="s">
        <v>1240</v>
      </c>
      <c r="D85" t="s">
        <v>1266</v>
      </c>
      <c r="E85" t="s">
        <v>1240</v>
      </c>
      <c r="G85" t="s">
        <v>1477</v>
      </c>
    </row>
    <row r="86" spans="1:7">
      <c r="A86" t="s">
        <v>125</v>
      </c>
      <c r="B86" t="s">
        <v>1478</v>
      </c>
      <c r="C86" t="s">
        <v>1240</v>
      </c>
      <c r="D86" t="s">
        <v>1479</v>
      </c>
      <c r="E86" t="s">
        <v>1240</v>
      </c>
      <c r="G86" t="s">
        <v>1480</v>
      </c>
    </row>
    <row r="87" spans="1:7">
      <c r="A87" t="s">
        <v>1481</v>
      </c>
      <c r="B87" t="s">
        <v>1482</v>
      </c>
      <c r="C87" t="s">
        <v>1240</v>
      </c>
      <c r="D87" t="s">
        <v>1223</v>
      </c>
      <c r="E87" t="s">
        <v>1240</v>
      </c>
      <c r="G87" t="s">
        <v>1483</v>
      </c>
    </row>
    <row r="88" spans="1:7">
      <c r="A88" t="s">
        <v>1484</v>
      </c>
      <c r="B88" t="s">
        <v>1485</v>
      </c>
      <c r="C88" t="s">
        <v>1240</v>
      </c>
      <c r="D88" t="s">
        <v>1263</v>
      </c>
      <c r="E88" t="s">
        <v>1240</v>
      </c>
      <c r="G88" t="s">
        <v>1483</v>
      </c>
    </row>
    <row r="89" spans="1:7">
      <c r="A89" t="s">
        <v>1486</v>
      </c>
      <c r="B89" t="s">
        <v>1487</v>
      </c>
      <c r="C89" t="s">
        <v>1488</v>
      </c>
      <c r="D89" t="s">
        <v>1223</v>
      </c>
      <c r="E89" t="s">
        <v>1224</v>
      </c>
      <c r="G89" t="s">
        <v>1489</v>
      </c>
    </row>
    <row r="90" spans="1:7">
      <c r="A90" t="s">
        <v>1490</v>
      </c>
      <c r="B90" t="s">
        <v>1491</v>
      </c>
      <c r="C90" t="s">
        <v>1224</v>
      </c>
      <c r="D90" t="s">
        <v>1301</v>
      </c>
      <c r="E90" t="s">
        <v>1224</v>
      </c>
      <c r="G90" t="s">
        <v>1492</v>
      </c>
    </row>
    <row r="91" spans="1:7">
      <c r="A91" t="s">
        <v>1493</v>
      </c>
      <c r="B91" t="s">
        <v>1494</v>
      </c>
      <c r="C91" t="s">
        <v>1495</v>
      </c>
      <c r="E91" t="s">
        <v>1224</v>
      </c>
      <c r="G91" t="s">
        <v>1496</v>
      </c>
    </row>
    <row r="92" spans="1:7">
      <c r="A92" t="s">
        <v>32</v>
      </c>
      <c r="B92" t="s">
        <v>1497</v>
      </c>
      <c r="C92" t="s">
        <v>1240</v>
      </c>
      <c r="D92" t="s">
        <v>1441</v>
      </c>
      <c r="E92" t="s">
        <v>1240</v>
      </c>
      <c r="G92" t="s">
        <v>1498</v>
      </c>
    </row>
    <row r="93" spans="1:7">
      <c r="A93" t="s">
        <v>1499</v>
      </c>
      <c r="B93" t="s">
        <v>1500</v>
      </c>
      <c r="C93" t="s">
        <v>1260</v>
      </c>
      <c r="D93" t="s">
        <v>1223</v>
      </c>
      <c r="E93" t="s">
        <v>1240</v>
      </c>
      <c r="G93" t="s">
        <v>1501</v>
      </c>
    </row>
    <row r="94" spans="1:7">
      <c r="A94" t="s">
        <v>1502</v>
      </c>
      <c r="B94" t="s">
        <v>1503</v>
      </c>
      <c r="C94" t="s">
        <v>1234</v>
      </c>
      <c r="D94" t="s">
        <v>1245</v>
      </c>
      <c r="E94" t="s">
        <v>1234</v>
      </c>
      <c r="G94" t="s">
        <v>1504</v>
      </c>
    </row>
    <row r="95" spans="1:7">
      <c r="A95" t="s">
        <v>1505</v>
      </c>
      <c r="B95" t="s">
        <v>1506</v>
      </c>
      <c r="C95" t="s">
        <v>1240</v>
      </c>
      <c r="D95" t="s">
        <v>1382</v>
      </c>
      <c r="E95" t="s">
        <v>1240</v>
      </c>
      <c r="G95" t="s">
        <v>1507</v>
      </c>
    </row>
    <row r="96" spans="1:7">
      <c r="A96" t="s">
        <v>1508</v>
      </c>
      <c r="B96" t="s">
        <v>1509</v>
      </c>
      <c r="C96" t="s">
        <v>1224</v>
      </c>
      <c r="D96" t="s">
        <v>1223</v>
      </c>
      <c r="E96" t="s">
        <v>1224</v>
      </c>
      <c r="G96" t="s">
        <v>1510</v>
      </c>
    </row>
    <row r="97" spans="1:7">
      <c r="A97" t="s">
        <v>1511</v>
      </c>
      <c r="B97" t="s">
        <v>1512</v>
      </c>
      <c r="C97" t="s">
        <v>1224</v>
      </c>
      <c r="D97" t="s">
        <v>1301</v>
      </c>
      <c r="E97" t="s">
        <v>1224</v>
      </c>
      <c r="G97" t="s">
        <v>1513</v>
      </c>
    </row>
    <row r="98" spans="1:7">
      <c r="A98" t="s">
        <v>1514</v>
      </c>
      <c r="B98" t="s">
        <v>1515</v>
      </c>
      <c r="C98" t="s">
        <v>1229</v>
      </c>
      <c r="D98" t="s">
        <v>1223</v>
      </c>
      <c r="E98" t="s">
        <v>1224</v>
      </c>
      <c r="G98" t="s">
        <v>1516</v>
      </c>
    </row>
    <row r="99" spans="1:7">
      <c r="A99" t="s">
        <v>1517</v>
      </c>
      <c r="B99" t="s">
        <v>1518</v>
      </c>
      <c r="C99" t="s">
        <v>380</v>
      </c>
      <c r="D99" t="s">
        <v>1519</v>
      </c>
      <c r="E99" t="s">
        <v>1273</v>
      </c>
      <c r="G99" t="s">
        <v>1520</v>
      </c>
    </row>
    <row r="100" spans="1:7">
      <c r="A100" t="s">
        <v>40</v>
      </c>
      <c r="B100" t="s">
        <v>1521</v>
      </c>
      <c r="C100" t="s">
        <v>1244</v>
      </c>
      <c r="D100" t="s">
        <v>1522</v>
      </c>
      <c r="E100" t="s">
        <v>1244</v>
      </c>
      <c r="G100" t="s">
        <v>1523</v>
      </c>
    </row>
    <row r="101" spans="1:7">
      <c r="A101" t="s">
        <v>1524</v>
      </c>
      <c r="B101" t="s">
        <v>1525</v>
      </c>
      <c r="C101" t="s">
        <v>1244</v>
      </c>
      <c r="D101" t="s">
        <v>1526</v>
      </c>
      <c r="E101" t="s">
        <v>1244</v>
      </c>
      <c r="G101" t="s">
        <v>1527</v>
      </c>
    </row>
    <row r="102" spans="1:7">
      <c r="A102" t="s">
        <v>1528</v>
      </c>
      <c r="B102" t="s">
        <v>1529</v>
      </c>
      <c r="C102" t="s">
        <v>1229</v>
      </c>
      <c r="D102" t="s">
        <v>1223</v>
      </c>
      <c r="E102" t="s">
        <v>1224</v>
      </c>
      <c r="G102" t="s">
        <v>1530</v>
      </c>
    </row>
    <row r="103" spans="1:7">
      <c r="A103" t="s">
        <v>1531</v>
      </c>
      <c r="B103" t="s">
        <v>1532</v>
      </c>
      <c r="D103" t="s">
        <v>1533</v>
      </c>
      <c r="G103" t="s">
        <v>1534</v>
      </c>
    </row>
    <row r="104" spans="1:7">
      <c r="A104" t="s">
        <v>1535</v>
      </c>
      <c r="B104" t="s">
        <v>1536</v>
      </c>
      <c r="D104" t="s">
        <v>1537</v>
      </c>
      <c r="G104" t="s">
        <v>1530</v>
      </c>
    </row>
    <row r="105" spans="1:7">
      <c r="A105" t="s">
        <v>27</v>
      </c>
      <c r="B105" t="s">
        <v>743</v>
      </c>
      <c r="C105" t="s">
        <v>1240</v>
      </c>
      <c r="D105" t="s">
        <v>1538</v>
      </c>
      <c r="E105" t="s">
        <v>1240</v>
      </c>
      <c r="G105" t="s">
        <v>1539</v>
      </c>
    </row>
    <row r="106" spans="1:7">
      <c r="A106" t="s">
        <v>1540</v>
      </c>
      <c r="B106" t="s">
        <v>1541</v>
      </c>
      <c r="C106" t="s">
        <v>1289</v>
      </c>
      <c r="D106" t="s">
        <v>1223</v>
      </c>
      <c r="E106" t="s">
        <v>1224</v>
      </c>
      <c r="G106" t="s">
        <v>1542</v>
      </c>
    </row>
    <row r="107" spans="1:7">
      <c r="A107" t="s">
        <v>1543</v>
      </c>
      <c r="B107" t="s">
        <v>1544</v>
      </c>
      <c r="C107" t="s">
        <v>1234</v>
      </c>
      <c r="D107" t="s">
        <v>1545</v>
      </c>
      <c r="E107" t="s">
        <v>1234</v>
      </c>
      <c r="G107" t="s">
        <v>1546</v>
      </c>
    </row>
    <row r="108" spans="1:7">
      <c r="A108" t="s">
        <v>1547</v>
      </c>
      <c r="B108" t="s">
        <v>1548</v>
      </c>
      <c r="C108" t="s">
        <v>1549</v>
      </c>
      <c r="D108" t="s">
        <v>1223</v>
      </c>
      <c r="E108" t="s">
        <v>1240</v>
      </c>
      <c r="G108" t="s">
        <v>1550</v>
      </c>
    </row>
    <row r="109" spans="1:7">
      <c r="A109" t="s">
        <v>1551</v>
      </c>
      <c r="B109" t="s">
        <v>1552</v>
      </c>
      <c r="C109" t="s">
        <v>1277</v>
      </c>
      <c r="D109" t="s">
        <v>1278</v>
      </c>
      <c r="E109" t="s">
        <v>1277</v>
      </c>
      <c r="G109" t="s">
        <v>1553</v>
      </c>
    </row>
    <row r="110" spans="1:7">
      <c r="A110" t="s">
        <v>1554</v>
      </c>
      <c r="B110" t="s">
        <v>1555</v>
      </c>
      <c r="C110" t="s">
        <v>1282</v>
      </c>
      <c r="D110" t="s">
        <v>1223</v>
      </c>
      <c r="E110" t="s">
        <v>1224</v>
      </c>
      <c r="G110" t="s">
        <v>1556</v>
      </c>
    </row>
    <row r="111" spans="1:7">
      <c r="A111" t="s">
        <v>1557</v>
      </c>
      <c r="B111" t="s">
        <v>1558</v>
      </c>
      <c r="C111" t="s">
        <v>1222</v>
      </c>
      <c r="D111" t="s">
        <v>1559</v>
      </c>
      <c r="E111" t="s">
        <v>1224</v>
      </c>
      <c r="G111" t="s">
        <v>1560</v>
      </c>
    </row>
    <row r="112" spans="1:7">
      <c r="A112" t="s">
        <v>1561</v>
      </c>
      <c r="B112" t="s">
        <v>1562</v>
      </c>
      <c r="C112" t="s">
        <v>1224</v>
      </c>
      <c r="D112" t="s">
        <v>1563</v>
      </c>
      <c r="E112" t="s">
        <v>1224</v>
      </c>
      <c r="G112" t="s">
        <v>1564</v>
      </c>
    </row>
    <row r="113" spans="1:7">
      <c r="A113" t="s">
        <v>41</v>
      </c>
      <c r="B113" t="s">
        <v>1565</v>
      </c>
      <c r="C113" t="s">
        <v>1244</v>
      </c>
      <c r="D113" t="s">
        <v>1285</v>
      </c>
      <c r="E113" t="s">
        <v>1244</v>
      </c>
      <c r="G113" t="s">
        <v>1566</v>
      </c>
    </row>
    <row r="114" spans="1:7">
      <c r="A114" t="s">
        <v>1567</v>
      </c>
      <c r="B114" t="s">
        <v>1568</v>
      </c>
      <c r="C114" t="s">
        <v>1224</v>
      </c>
      <c r="D114" t="s">
        <v>1376</v>
      </c>
      <c r="E114" t="s">
        <v>1224</v>
      </c>
      <c r="G114" t="s">
        <v>1569</v>
      </c>
    </row>
    <row r="115" spans="1:7">
      <c r="A115" t="s">
        <v>1570</v>
      </c>
      <c r="B115" t="s">
        <v>1571</v>
      </c>
      <c r="D115" t="s">
        <v>1572</v>
      </c>
      <c r="G115" t="s">
        <v>1573</v>
      </c>
    </row>
    <row r="116" spans="1:7">
      <c r="A116" t="s">
        <v>1574</v>
      </c>
      <c r="B116" t="s">
        <v>1575</v>
      </c>
      <c r="C116" t="s">
        <v>1234</v>
      </c>
      <c r="D116" t="s">
        <v>1245</v>
      </c>
      <c r="E116" t="s">
        <v>1234</v>
      </c>
      <c r="G116" t="s">
        <v>1576</v>
      </c>
    </row>
    <row r="117" spans="1:7">
      <c r="A117" t="s">
        <v>1577</v>
      </c>
      <c r="B117" t="s">
        <v>1578</v>
      </c>
      <c r="D117" t="s">
        <v>1579</v>
      </c>
      <c r="G117" t="s">
        <v>1580</v>
      </c>
    </row>
    <row r="118" spans="1:7">
      <c r="A118" t="s">
        <v>1581</v>
      </c>
      <c r="B118" t="s">
        <v>1582</v>
      </c>
      <c r="C118" t="s">
        <v>1583</v>
      </c>
      <c r="D118" t="s">
        <v>1223</v>
      </c>
      <c r="G118" t="s">
        <v>1584</v>
      </c>
    </row>
    <row r="119" spans="1:7">
      <c r="A119" t="s">
        <v>1585</v>
      </c>
      <c r="B119" t="s">
        <v>1586</v>
      </c>
      <c r="C119" t="s">
        <v>1587</v>
      </c>
      <c r="D119" t="s">
        <v>1588</v>
      </c>
      <c r="E119" t="s">
        <v>1240</v>
      </c>
      <c r="G119" t="s">
        <v>1589</v>
      </c>
    </row>
    <row r="120" spans="1:7">
      <c r="A120" t="s">
        <v>1590</v>
      </c>
      <c r="B120" t="s">
        <v>1591</v>
      </c>
      <c r="C120" t="s">
        <v>1240</v>
      </c>
      <c r="D120" t="s">
        <v>1230</v>
      </c>
      <c r="E120" t="s">
        <v>1240</v>
      </c>
      <c r="G120" t="s">
        <v>1589</v>
      </c>
    </row>
    <row r="121" spans="1:7">
      <c r="A121" t="s">
        <v>33</v>
      </c>
      <c r="B121" t="s">
        <v>1592</v>
      </c>
      <c r="C121" t="s">
        <v>1240</v>
      </c>
      <c r="D121" t="s">
        <v>1593</v>
      </c>
      <c r="E121" t="s">
        <v>1240</v>
      </c>
      <c r="G121" t="s">
        <v>1589</v>
      </c>
    </row>
    <row r="122" spans="1:7">
      <c r="A122" t="s">
        <v>1594</v>
      </c>
      <c r="B122" t="s">
        <v>1595</v>
      </c>
      <c r="C122" t="s">
        <v>1224</v>
      </c>
      <c r="D122" t="s">
        <v>1596</v>
      </c>
      <c r="E122" t="s">
        <v>1224</v>
      </c>
      <c r="G122" t="s">
        <v>1597</v>
      </c>
    </row>
    <row r="123" spans="1:7">
      <c r="A123" t="s">
        <v>1598</v>
      </c>
      <c r="B123" t="s">
        <v>1599</v>
      </c>
      <c r="C123" t="s">
        <v>1260</v>
      </c>
      <c r="D123" t="s">
        <v>1600</v>
      </c>
      <c r="E123" t="s">
        <v>1260</v>
      </c>
      <c r="G123" t="s">
        <v>1601</v>
      </c>
    </row>
    <row r="124" spans="1:7">
      <c r="A124" t="s">
        <v>1602</v>
      </c>
      <c r="B124" t="s">
        <v>1603</v>
      </c>
      <c r="C124" t="s">
        <v>1234</v>
      </c>
      <c r="D124" t="s">
        <v>1245</v>
      </c>
      <c r="E124" t="s">
        <v>1234</v>
      </c>
      <c r="G124" t="s">
        <v>1604</v>
      </c>
    </row>
    <row r="125" spans="1:7">
      <c r="A125" t="s">
        <v>24</v>
      </c>
      <c r="B125" t="s">
        <v>1605</v>
      </c>
      <c r="C125" t="s">
        <v>1240</v>
      </c>
      <c r="D125" t="s">
        <v>1606</v>
      </c>
      <c r="E125" t="s">
        <v>1240</v>
      </c>
      <c r="G125" t="s">
        <v>1607</v>
      </c>
    </row>
    <row r="126" spans="1:7">
      <c r="A126" t="s">
        <v>1608</v>
      </c>
      <c r="B126" t="s">
        <v>1609</v>
      </c>
      <c r="C126" t="s">
        <v>1260</v>
      </c>
      <c r="D126" t="s">
        <v>1606</v>
      </c>
      <c r="E126" t="s">
        <v>1240</v>
      </c>
      <c r="G126" t="s">
        <v>1607</v>
      </c>
    </row>
    <row r="127" spans="1:7">
      <c r="A127" t="s">
        <v>1610</v>
      </c>
      <c r="B127" t="s">
        <v>1611</v>
      </c>
      <c r="C127" t="s">
        <v>1612</v>
      </c>
      <c r="D127" t="s">
        <v>1223</v>
      </c>
      <c r="E127" t="s">
        <v>1224</v>
      </c>
      <c r="G127" t="s">
        <v>1607</v>
      </c>
    </row>
    <row r="128" spans="1:7">
      <c r="A128" t="s">
        <v>1613</v>
      </c>
      <c r="B128" t="s">
        <v>1614</v>
      </c>
      <c r="C128" t="s">
        <v>1224</v>
      </c>
      <c r="D128" t="s">
        <v>1223</v>
      </c>
      <c r="E128" t="s">
        <v>1224</v>
      </c>
      <c r="G128" t="s">
        <v>1615</v>
      </c>
    </row>
    <row r="129" spans="1:8">
      <c r="A129" t="s">
        <v>1616</v>
      </c>
      <c r="G129" t="s">
        <v>1617</v>
      </c>
    </row>
    <row r="130" spans="1:8">
      <c r="A130" t="s">
        <v>1618</v>
      </c>
      <c r="B130" t="s">
        <v>1619</v>
      </c>
      <c r="C130" t="s">
        <v>1260</v>
      </c>
      <c r="D130" t="s">
        <v>1620</v>
      </c>
      <c r="E130" t="s">
        <v>1260</v>
      </c>
      <c r="G130" t="s">
        <v>1617</v>
      </c>
    </row>
    <row r="131" spans="1:8">
      <c r="A131" t="s">
        <v>44</v>
      </c>
      <c r="B131" t="s">
        <v>1491</v>
      </c>
      <c r="C131" t="s">
        <v>1224</v>
      </c>
      <c r="D131" t="s">
        <v>1301</v>
      </c>
      <c r="E131" t="s">
        <v>1224</v>
      </c>
      <c r="G131" t="s">
        <v>1621</v>
      </c>
    </row>
    <row r="132" spans="1:8">
      <c r="A132" t="s">
        <v>1622</v>
      </c>
      <c r="B132" t="s">
        <v>1623</v>
      </c>
      <c r="C132" t="s">
        <v>1260</v>
      </c>
      <c r="D132" t="s">
        <v>1223</v>
      </c>
      <c r="E132" t="s">
        <v>1260</v>
      </c>
      <c r="G132" t="s">
        <v>1624</v>
      </c>
    </row>
    <row r="133" spans="1:8">
      <c r="A133" t="s">
        <v>1625</v>
      </c>
      <c r="B133" s="25" t="s">
        <v>1626</v>
      </c>
      <c r="C133" t="s">
        <v>1234</v>
      </c>
      <c r="D133" t="s">
        <v>1245</v>
      </c>
      <c r="E133" t="s">
        <v>1234</v>
      </c>
      <c r="G133" t="s">
        <v>1627</v>
      </c>
    </row>
    <row r="134" spans="1:8">
      <c r="A134" t="s">
        <v>1628</v>
      </c>
      <c r="B134" t="s">
        <v>1629</v>
      </c>
      <c r="C134" t="s">
        <v>1224</v>
      </c>
      <c r="D134" t="s">
        <v>1223</v>
      </c>
      <c r="E134" t="s">
        <v>1224</v>
      </c>
      <c r="G134" t="s">
        <v>1627</v>
      </c>
    </row>
    <row r="135" spans="1:8">
      <c r="A135" t="s">
        <v>1630</v>
      </c>
      <c r="B135" s="25" t="s">
        <v>1631</v>
      </c>
      <c r="C135" t="s">
        <v>1277</v>
      </c>
      <c r="D135" t="s">
        <v>1223</v>
      </c>
      <c r="E135" t="s">
        <v>1277</v>
      </c>
      <c r="G135" t="s">
        <v>1632</v>
      </c>
    </row>
    <row r="136" spans="1:8">
      <c r="A136" t="s">
        <v>1633</v>
      </c>
      <c r="B136" t="s">
        <v>1634</v>
      </c>
      <c r="C136" t="s">
        <v>1635</v>
      </c>
      <c r="D136" t="s">
        <v>1380</v>
      </c>
      <c r="E136" t="s">
        <v>1635</v>
      </c>
      <c r="G136" t="s">
        <v>1636</v>
      </c>
    </row>
    <row r="137" spans="1:8">
      <c r="A137" t="s">
        <v>1637</v>
      </c>
      <c r="B137" t="s">
        <v>1638</v>
      </c>
      <c r="C137" t="s">
        <v>1244</v>
      </c>
      <c r="D137" t="s">
        <v>1639</v>
      </c>
      <c r="E137" t="s">
        <v>1244</v>
      </c>
      <c r="G137" t="s">
        <v>1640</v>
      </c>
    </row>
    <row r="138" spans="1:8">
      <c r="A138" t="s">
        <v>1641</v>
      </c>
      <c r="B138" t="s">
        <v>1642</v>
      </c>
      <c r="C138" t="s">
        <v>1587</v>
      </c>
      <c r="D138" t="s">
        <v>1588</v>
      </c>
      <c r="E138" t="s">
        <v>1240</v>
      </c>
      <c r="G138" t="s">
        <v>1640</v>
      </c>
    </row>
    <row r="139" spans="1:8">
      <c r="A139" t="s">
        <v>34</v>
      </c>
      <c r="B139" t="s">
        <v>1643</v>
      </c>
      <c r="C139" t="s">
        <v>1240</v>
      </c>
      <c r="D139" t="s">
        <v>1644</v>
      </c>
      <c r="E139" t="s">
        <v>1240</v>
      </c>
      <c r="G139" t="s">
        <v>1645</v>
      </c>
    </row>
    <row r="140" spans="1:8">
      <c r="A140" t="s">
        <v>1646</v>
      </c>
      <c r="B140" t="s">
        <v>1647</v>
      </c>
      <c r="C140" t="s">
        <v>1224</v>
      </c>
      <c r="D140" t="s">
        <v>1648</v>
      </c>
      <c r="E140" t="s">
        <v>1224</v>
      </c>
      <c r="G140" t="s">
        <v>1649</v>
      </c>
    </row>
    <row r="141" spans="1:8">
      <c r="A141" t="s">
        <v>1650</v>
      </c>
      <c r="B141" t="s">
        <v>1651</v>
      </c>
      <c r="C141" t="s">
        <v>1244</v>
      </c>
      <c r="D141" t="s">
        <v>1652</v>
      </c>
      <c r="E141" t="s">
        <v>1244</v>
      </c>
      <c r="G141" t="s">
        <v>1653</v>
      </c>
      <c r="H141" t="s">
        <v>1654</v>
      </c>
    </row>
    <row r="142" spans="1:8">
      <c r="A142" t="s">
        <v>31</v>
      </c>
      <c r="B142" t="s">
        <v>1655</v>
      </c>
      <c r="C142" t="s">
        <v>1240</v>
      </c>
      <c r="D142" t="s">
        <v>1656</v>
      </c>
      <c r="E142" t="s">
        <v>1240</v>
      </c>
      <c r="G142" t="s">
        <v>1657</v>
      </c>
    </row>
    <row r="143" spans="1:8">
      <c r="A143" t="s">
        <v>1658</v>
      </c>
      <c r="B143" t="s">
        <v>1659</v>
      </c>
      <c r="C143" t="s">
        <v>1260</v>
      </c>
      <c r="D143" t="s">
        <v>1660</v>
      </c>
      <c r="E143" t="s">
        <v>1260</v>
      </c>
      <c r="G143" t="s">
        <v>1661</v>
      </c>
    </row>
    <row r="144" spans="1:8">
      <c r="A144" t="s">
        <v>39</v>
      </c>
      <c r="B144" t="s">
        <v>1662</v>
      </c>
      <c r="C144" t="s">
        <v>1244</v>
      </c>
      <c r="D144" t="s">
        <v>1663</v>
      </c>
      <c r="E144" t="s">
        <v>1244</v>
      </c>
      <c r="G144" t="s">
        <v>1664</v>
      </c>
    </row>
    <row r="145" spans="1:7">
      <c r="A145" t="s">
        <v>1665</v>
      </c>
      <c r="B145" t="s">
        <v>1666</v>
      </c>
      <c r="C145" t="s">
        <v>1240</v>
      </c>
      <c r="E145" t="s">
        <v>1240</v>
      </c>
      <c r="G145" t="s">
        <v>1667</v>
      </c>
    </row>
    <row r="146" spans="1:7">
      <c r="A146" t="s">
        <v>1668</v>
      </c>
      <c r="B146" t="s">
        <v>1669</v>
      </c>
      <c r="C146" t="s">
        <v>1670</v>
      </c>
      <c r="D146" t="s">
        <v>1223</v>
      </c>
      <c r="E146" t="s">
        <v>1224</v>
      </c>
      <c r="G146" t="s">
        <v>1671</v>
      </c>
    </row>
    <row r="147" spans="1:7">
      <c r="A147" t="s">
        <v>1672</v>
      </c>
      <c r="B147" t="s">
        <v>1673</v>
      </c>
      <c r="C147" t="s">
        <v>1674</v>
      </c>
      <c r="D147" t="s">
        <v>1606</v>
      </c>
      <c r="E147" t="s">
        <v>1240</v>
      </c>
      <c r="G147" t="s">
        <v>1675</v>
      </c>
    </row>
    <row r="148" spans="1:7">
      <c r="A148" t="s">
        <v>25</v>
      </c>
      <c r="B148" t="s">
        <v>766</v>
      </c>
      <c r="C148" t="s">
        <v>1240</v>
      </c>
      <c r="D148" t="s">
        <v>1479</v>
      </c>
      <c r="E148" t="s">
        <v>1240</v>
      </c>
      <c r="G148" t="s">
        <v>1675</v>
      </c>
    </row>
    <row r="149" spans="1:7">
      <c r="A149" t="s">
        <v>1676</v>
      </c>
      <c r="B149" t="s">
        <v>1677</v>
      </c>
      <c r="D149" t="s">
        <v>1678</v>
      </c>
      <c r="G149" t="s">
        <v>1675</v>
      </c>
    </row>
    <row r="150" spans="1:7">
      <c r="A150" t="s">
        <v>1679</v>
      </c>
      <c r="B150" t="s">
        <v>1680</v>
      </c>
      <c r="C150" t="s">
        <v>1240</v>
      </c>
      <c r="D150" t="s">
        <v>1681</v>
      </c>
      <c r="E150" t="s">
        <v>1240</v>
      </c>
      <c r="G150" t="s">
        <v>1682</v>
      </c>
    </row>
    <row r="151" spans="1:7">
      <c r="A151" t="s">
        <v>163</v>
      </c>
      <c r="B151" t="s">
        <v>1683</v>
      </c>
      <c r="C151" t="s">
        <v>1244</v>
      </c>
      <c r="D151" t="s">
        <v>1266</v>
      </c>
      <c r="E151" t="s">
        <v>1244</v>
      </c>
      <c r="G151" t="s">
        <v>1684</v>
      </c>
    </row>
    <row r="152" spans="1:7">
      <c r="A152" t="s">
        <v>1685</v>
      </c>
      <c r="B152" t="s">
        <v>1686</v>
      </c>
      <c r="C152" t="s">
        <v>1244</v>
      </c>
      <c r="E152" t="s">
        <v>1244</v>
      </c>
      <c r="G152" t="s">
        <v>1687</v>
      </c>
    </row>
    <row r="153" spans="1:7">
      <c r="A153" t="s">
        <v>1688</v>
      </c>
      <c r="B153" t="s">
        <v>1689</v>
      </c>
      <c r="C153" t="s">
        <v>1224</v>
      </c>
      <c r="D153" t="s">
        <v>1223</v>
      </c>
      <c r="E153" t="s">
        <v>1224</v>
      </c>
      <c r="G153" t="s">
        <v>1690</v>
      </c>
    </row>
    <row r="154" spans="1:7">
      <c r="A154" t="s">
        <v>1691</v>
      </c>
      <c r="B154" t="s">
        <v>1692</v>
      </c>
      <c r="C154" t="s">
        <v>1234</v>
      </c>
      <c r="D154" t="s">
        <v>1245</v>
      </c>
      <c r="E154" t="s">
        <v>1234</v>
      </c>
      <c r="G154" t="s">
        <v>1693</v>
      </c>
    </row>
    <row r="155" spans="1:7">
      <c r="A155" t="s">
        <v>1694</v>
      </c>
      <c r="B155" t="s">
        <v>1695</v>
      </c>
      <c r="C155" t="s">
        <v>1224</v>
      </c>
      <c r="D155" t="s">
        <v>1223</v>
      </c>
      <c r="E155" t="s">
        <v>1224</v>
      </c>
      <c r="G155" t="s">
        <v>1693</v>
      </c>
    </row>
    <row r="156" spans="1:7">
      <c r="A156" t="s">
        <v>1696</v>
      </c>
      <c r="B156" t="s">
        <v>1697</v>
      </c>
      <c r="C156" t="s">
        <v>1244</v>
      </c>
      <c r="D156" t="s">
        <v>1698</v>
      </c>
      <c r="E156" t="s">
        <v>1244</v>
      </c>
      <c r="G156" t="s">
        <v>1699</v>
      </c>
    </row>
    <row r="157" spans="1:7">
      <c r="A157" t="s">
        <v>1700</v>
      </c>
      <c r="B157" t="s">
        <v>1701</v>
      </c>
      <c r="C157" t="s">
        <v>1260</v>
      </c>
      <c r="D157" t="s">
        <v>1479</v>
      </c>
      <c r="E157" t="s">
        <v>1260</v>
      </c>
      <c r="G157" t="s">
        <v>1702</v>
      </c>
    </row>
    <row r="158" spans="1:7">
      <c r="A158" t="s">
        <v>1703</v>
      </c>
      <c r="B158" t="s">
        <v>1704</v>
      </c>
      <c r="C158" t="s">
        <v>1260</v>
      </c>
      <c r="D158" t="s">
        <v>1705</v>
      </c>
      <c r="E158" t="s">
        <v>1260</v>
      </c>
      <c r="G158" t="s">
        <v>1706</v>
      </c>
    </row>
    <row r="159" spans="1:7">
      <c r="A159" t="s">
        <v>1707</v>
      </c>
      <c r="B159" t="s">
        <v>1708</v>
      </c>
      <c r="C159" t="s">
        <v>1709</v>
      </c>
      <c r="D159" t="s">
        <v>1223</v>
      </c>
      <c r="E159" t="s">
        <v>1224</v>
      </c>
      <c r="G159" t="s">
        <v>1710</v>
      </c>
    </row>
    <row r="160" spans="1:7">
      <c r="A160" t="s">
        <v>1711</v>
      </c>
      <c r="B160" t="s">
        <v>1388</v>
      </c>
      <c r="C160" t="s">
        <v>1244</v>
      </c>
      <c r="D160" t="s">
        <v>1712</v>
      </c>
      <c r="E160" t="s">
        <v>1244</v>
      </c>
      <c r="G160" t="s">
        <v>1389</v>
      </c>
    </row>
    <row r="161" spans="1:8">
      <c r="A161" t="s">
        <v>36</v>
      </c>
      <c r="B161" t="s">
        <v>740</v>
      </c>
      <c r="C161" t="s">
        <v>1244</v>
      </c>
      <c r="D161" t="s">
        <v>1713</v>
      </c>
      <c r="E161" t="s">
        <v>1244</v>
      </c>
      <c r="G161" t="s">
        <v>1714</v>
      </c>
    </row>
    <row r="162" spans="1:8">
      <c r="A162" t="s">
        <v>1715</v>
      </c>
      <c r="B162" t="s">
        <v>1716</v>
      </c>
      <c r="C162" t="s">
        <v>1240</v>
      </c>
      <c r="D162" t="s">
        <v>1223</v>
      </c>
      <c r="E162" t="s">
        <v>1240</v>
      </c>
      <c r="G162" t="s">
        <v>1717</v>
      </c>
    </row>
    <row r="163" spans="1:8">
      <c r="A163" t="s">
        <v>1718</v>
      </c>
      <c r="B163" t="s">
        <v>1719</v>
      </c>
      <c r="C163" t="s">
        <v>1234</v>
      </c>
      <c r="D163" t="s">
        <v>1245</v>
      </c>
      <c r="E163" t="s">
        <v>1234</v>
      </c>
      <c r="G163" t="s">
        <v>1720</v>
      </c>
    </row>
    <row r="164" spans="1:8">
      <c r="A164" t="s">
        <v>1721</v>
      </c>
      <c r="B164" t="s">
        <v>1722</v>
      </c>
      <c r="C164" t="s">
        <v>1244</v>
      </c>
      <c r="D164" t="s">
        <v>1413</v>
      </c>
      <c r="E164" t="s">
        <v>1244</v>
      </c>
      <c r="G164" t="s">
        <v>1723</v>
      </c>
    </row>
    <row r="165" spans="1:8">
      <c r="A165" t="s">
        <v>1724</v>
      </c>
      <c r="B165" t="s">
        <v>1725</v>
      </c>
      <c r="D165" t="s">
        <v>1726</v>
      </c>
      <c r="G165" t="s">
        <v>1727</v>
      </c>
    </row>
    <row r="166" spans="1:8">
      <c r="A166" t="s">
        <v>307</v>
      </c>
      <c r="B166" t="s">
        <v>1728</v>
      </c>
      <c r="C166" t="s">
        <v>1289</v>
      </c>
      <c r="D166" t="s">
        <v>1223</v>
      </c>
      <c r="E166" t="s">
        <v>1224</v>
      </c>
      <c r="G166" t="s">
        <v>1727</v>
      </c>
    </row>
    <row r="167" spans="1:8">
      <c r="A167" t="s">
        <v>1729</v>
      </c>
      <c r="B167" t="s">
        <v>1730</v>
      </c>
      <c r="C167" t="s">
        <v>1731</v>
      </c>
      <c r="D167" t="s">
        <v>1223</v>
      </c>
      <c r="E167" t="s">
        <v>1240</v>
      </c>
      <c r="G167" t="s">
        <v>1732</v>
      </c>
    </row>
    <row r="168" spans="1:8">
      <c r="A168" t="s">
        <v>1733</v>
      </c>
      <c r="B168" t="s">
        <v>1734</v>
      </c>
      <c r="C168" t="s">
        <v>1735</v>
      </c>
      <c r="D168" t="s">
        <v>1223</v>
      </c>
      <c r="E168" t="s">
        <v>1224</v>
      </c>
      <c r="G168" t="s">
        <v>1736</v>
      </c>
    </row>
    <row r="169" spans="1:8">
      <c r="A169" t="s">
        <v>1737</v>
      </c>
      <c r="B169" t="s">
        <v>1738</v>
      </c>
      <c r="C169" t="s">
        <v>1587</v>
      </c>
      <c r="D169" t="s">
        <v>1588</v>
      </c>
      <c r="E169" t="s">
        <v>1240</v>
      </c>
      <c r="G169" t="s">
        <v>1352</v>
      </c>
    </row>
    <row r="170" spans="1:8">
      <c r="A170" t="s">
        <v>37</v>
      </c>
      <c r="B170" t="s">
        <v>1739</v>
      </c>
      <c r="C170" t="s">
        <v>1244</v>
      </c>
      <c r="D170" t="s">
        <v>1606</v>
      </c>
      <c r="E170" t="s">
        <v>1244</v>
      </c>
      <c r="G170" t="s">
        <v>1740</v>
      </c>
    </row>
    <row r="171" spans="1:8">
      <c r="A171" t="s">
        <v>214</v>
      </c>
      <c r="B171" t="s">
        <v>1741</v>
      </c>
      <c r="C171" t="s">
        <v>1244</v>
      </c>
      <c r="D171" t="s">
        <v>1588</v>
      </c>
      <c r="E171" t="s">
        <v>1244</v>
      </c>
      <c r="G171" t="s">
        <v>1740</v>
      </c>
    </row>
    <row r="172" spans="1:8">
      <c r="A172" s="308" t="s">
        <v>1742</v>
      </c>
      <c r="B172" s="308" t="s">
        <v>1743</v>
      </c>
      <c r="C172" s="308" t="s">
        <v>1240</v>
      </c>
      <c r="D172" s="308"/>
      <c r="E172" s="308" t="s">
        <v>1240</v>
      </c>
      <c r="F172" s="308"/>
      <c r="G172" s="308" t="s">
        <v>1744</v>
      </c>
      <c r="H172" s="308"/>
    </row>
    <row r="173" spans="1:8">
      <c r="A173" t="s">
        <v>1745</v>
      </c>
      <c r="B173" t="s">
        <v>1746</v>
      </c>
      <c r="C173" t="s">
        <v>1222</v>
      </c>
      <c r="D173" t="s">
        <v>1223</v>
      </c>
      <c r="E173" t="s">
        <v>1224</v>
      </c>
      <c r="G173" t="s">
        <v>1745</v>
      </c>
    </row>
    <row r="174" spans="1:8">
      <c r="A174" t="s">
        <v>1747</v>
      </c>
      <c r="B174" t="s">
        <v>1748</v>
      </c>
      <c r="C174" t="s">
        <v>1343</v>
      </c>
      <c r="E174" t="s">
        <v>1240</v>
      </c>
      <c r="G174" t="s">
        <v>1749</v>
      </c>
    </row>
    <row r="175" spans="1:8">
      <c r="A175" t="s">
        <v>1750</v>
      </c>
      <c r="B175" t="s">
        <v>1221</v>
      </c>
      <c r="C175" t="s">
        <v>1260</v>
      </c>
      <c r="D175" t="s">
        <v>1559</v>
      </c>
      <c r="E175" t="s">
        <v>1260</v>
      </c>
      <c r="G175" t="s">
        <v>1751</v>
      </c>
    </row>
    <row r="176" spans="1:8">
      <c r="A176" t="s">
        <v>1752</v>
      </c>
      <c r="B176" t="s">
        <v>1609</v>
      </c>
      <c r="C176" t="s">
        <v>1260</v>
      </c>
      <c r="D176" t="s">
        <v>1606</v>
      </c>
      <c r="E176" t="s">
        <v>1240</v>
      </c>
      <c r="G176" t="s">
        <v>1607</v>
      </c>
    </row>
    <row r="177" spans="1:7">
      <c r="A177" t="s">
        <v>1583</v>
      </c>
      <c r="C177" t="s">
        <v>1240</v>
      </c>
      <c r="D177" t="s">
        <v>1223</v>
      </c>
      <c r="E177" t="s">
        <v>1240</v>
      </c>
      <c r="G177" t="s">
        <v>1583</v>
      </c>
    </row>
    <row r="178" spans="1:7">
      <c r="A178" t="s">
        <v>1753</v>
      </c>
      <c r="B178" t="s">
        <v>1754</v>
      </c>
      <c r="D178" t="s">
        <v>1755</v>
      </c>
      <c r="G178" t="s">
        <v>1756</v>
      </c>
    </row>
    <row r="179" spans="1:7">
      <c r="A179" t="s">
        <v>1757</v>
      </c>
      <c r="B179" t="s">
        <v>1758</v>
      </c>
      <c r="C179" t="s">
        <v>1222</v>
      </c>
      <c r="D179" t="s">
        <v>1223</v>
      </c>
      <c r="E179" t="s">
        <v>1224</v>
      </c>
      <c r="G179" t="s">
        <v>1759</v>
      </c>
    </row>
    <row r="180" spans="1:7">
      <c r="A180" t="s">
        <v>1760</v>
      </c>
      <c r="B180" t="s">
        <v>1761</v>
      </c>
      <c r="C180" t="s">
        <v>1277</v>
      </c>
      <c r="D180" t="s">
        <v>1278</v>
      </c>
      <c r="E180" t="s">
        <v>1277</v>
      </c>
      <c r="G180" t="s">
        <v>1759</v>
      </c>
    </row>
    <row r="181" spans="1:7">
      <c r="A181" t="s">
        <v>1762</v>
      </c>
      <c r="B181" t="s">
        <v>1763</v>
      </c>
      <c r="C181" t="s">
        <v>1467</v>
      </c>
      <c r="D181" t="s">
        <v>1223</v>
      </c>
      <c r="E181" t="s">
        <v>1224</v>
      </c>
      <c r="G181" t="s">
        <v>1764</v>
      </c>
    </row>
    <row r="182" spans="1:7">
      <c r="A182" t="s">
        <v>1765</v>
      </c>
      <c r="B182" t="s">
        <v>1766</v>
      </c>
      <c r="C182" t="s">
        <v>1587</v>
      </c>
      <c r="D182" t="s">
        <v>1767</v>
      </c>
      <c r="E182" t="s">
        <v>1240</v>
      </c>
      <c r="G182" t="s">
        <v>1768</v>
      </c>
    </row>
    <row r="183" spans="1:7">
      <c r="A183" t="s">
        <v>1769</v>
      </c>
      <c r="B183" t="s">
        <v>1770</v>
      </c>
      <c r="C183" t="s">
        <v>1260</v>
      </c>
      <c r="D183" t="s">
        <v>1370</v>
      </c>
      <c r="E183" t="s">
        <v>1260</v>
      </c>
      <c r="G183" t="s">
        <v>1771</v>
      </c>
    </row>
    <row r="184" spans="1:7">
      <c r="A184" t="s">
        <v>1772</v>
      </c>
      <c r="B184" t="s">
        <v>1773</v>
      </c>
      <c r="C184" t="s">
        <v>1224</v>
      </c>
      <c r="D184" t="s">
        <v>1382</v>
      </c>
      <c r="E184" t="s">
        <v>1224</v>
      </c>
      <c r="G184" t="s">
        <v>1774</v>
      </c>
    </row>
    <row r="185" spans="1:7">
      <c r="A185" t="s">
        <v>45</v>
      </c>
      <c r="B185" t="s">
        <v>1775</v>
      </c>
      <c r="C185" t="s">
        <v>1224</v>
      </c>
      <c r="D185" t="s">
        <v>1301</v>
      </c>
      <c r="E185" t="s">
        <v>1224</v>
      </c>
      <c r="G185" t="s">
        <v>1776</v>
      </c>
    </row>
    <row r="186" spans="1:7">
      <c r="A186" t="s">
        <v>1777</v>
      </c>
      <c r="B186" t="s">
        <v>1778</v>
      </c>
      <c r="C186" t="s">
        <v>1282</v>
      </c>
      <c r="D186" t="s">
        <v>1223</v>
      </c>
      <c r="E186" t="s">
        <v>1224</v>
      </c>
      <c r="G186" t="s">
        <v>1779</v>
      </c>
    </row>
    <row r="187" spans="1:7">
      <c r="A187" t="s">
        <v>1240</v>
      </c>
      <c r="B187" t="s">
        <v>1430</v>
      </c>
      <c r="C187" t="s">
        <v>1240</v>
      </c>
      <c r="D187" t="s">
        <v>1223</v>
      </c>
      <c r="E187" t="s">
        <v>1240</v>
      </c>
      <c r="G187" t="s">
        <v>1240</v>
      </c>
    </row>
    <row r="188" spans="1:7">
      <c r="A188" t="s">
        <v>1780</v>
      </c>
      <c r="B188" t="s">
        <v>1781</v>
      </c>
      <c r="C188" t="s">
        <v>1244</v>
      </c>
      <c r="D188" t="s">
        <v>1782</v>
      </c>
      <c r="E188" t="s">
        <v>1244</v>
      </c>
      <c r="G188" t="s">
        <v>1783</v>
      </c>
    </row>
    <row r="189" spans="1:7">
      <c r="A189" t="s">
        <v>1784</v>
      </c>
      <c r="B189" t="s">
        <v>1785</v>
      </c>
      <c r="C189" t="s">
        <v>1260</v>
      </c>
      <c r="D189" t="s">
        <v>1786</v>
      </c>
      <c r="E189" t="s">
        <v>1260</v>
      </c>
      <c r="G189" t="s">
        <v>1787</v>
      </c>
    </row>
    <row r="190" spans="1:7">
      <c r="A190" t="s">
        <v>1788</v>
      </c>
    </row>
    <row r="191" spans="1:7">
      <c r="A191" t="s">
        <v>1789</v>
      </c>
      <c r="B191" t="s">
        <v>1790</v>
      </c>
      <c r="C191" t="s">
        <v>1234</v>
      </c>
      <c r="D191" t="s">
        <v>1245</v>
      </c>
      <c r="E191" t="s">
        <v>1234</v>
      </c>
      <c r="G191" t="s">
        <v>1791</v>
      </c>
    </row>
    <row r="192" spans="1:7">
      <c r="A192" t="s">
        <v>320</v>
      </c>
      <c r="B192" t="s">
        <v>1792</v>
      </c>
      <c r="C192" t="s">
        <v>1244</v>
      </c>
      <c r="D192" t="s">
        <v>1266</v>
      </c>
      <c r="E192" t="s">
        <v>1244</v>
      </c>
      <c r="G192" t="s">
        <v>1791</v>
      </c>
    </row>
    <row r="193" spans="1:7">
      <c r="A193" t="s">
        <v>1793</v>
      </c>
      <c r="B193" t="s">
        <v>1794</v>
      </c>
      <c r="C193" t="s">
        <v>1222</v>
      </c>
      <c r="D193" t="s">
        <v>1223</v>
      </c>
      <c r="E193" t="s">
        <v>1224</v>
      </c>
      <c r="G193" t="s">
        <v>1795</v>
      </c>
    </row>
    <row r="194" spans="1:7">
      <c r="A194" t="s">
        <v>1796</v>
      </c>
      <c r="B194" t="s">
        <v>1272</v>
      </c>
      <c r="C194" t="s">
        <v>1273</v>
      </c>
      <c r="D194" t="s">
        <v>1223</v>
      </c>
      <c r="E194" t="s">
        <v>1273</v>
      </c>
      <c r="G194" t="s">
        <v>1274</v>
      </c>
    </row>
    <row r="195" spans="1:7">
      <c r="A195" t="s">
        <v>1797</v>
      </c>
      <c r="B195" t="s">
        <v>1798</v>
      </c>
      <c r="C195" t="s">
        <v>1244</v>
      </c>
      <c r="D195" t="s">
        <v>1652</v>
      </c>
      <c r="E195" t="s">
        <v>1244</v>
      </c>
      <c r="G195" t="s">
        <v>1799</v>
      </c>
    </row>
    <row r="196" spans="1:7">
      <c r="A196" t="s">
        <v>1800</v>
      </c>
      <c r="B196" t="s">
        <v>1801</v>
      </c>
      <c r="C196" t="s">
        <v>1244</v>
      </c>
      <c r="D196" t="s">
        <v>1802</v>
      </c>
      <c r="E196" t="s">
        <v>1244</v>
      </c>
      <c r="G196" t="s">
        <v>1803</v>
      </c>
    </row>
    <row r="197" spans="1:7">
      <c r="A197" t="s">
        <v>1804</v>
      </c>
      <c r="B197" t="s">
        <v>1805</v>
      </c>
      <c r="C197" t="s">
        <v>1273</v>
      </c>
      <c r="D197" t="s">
        <v>1301</v>
      </c>
      <c r="E197" t="s">
        <v>1273</v>
      </c>
      <c r="G197" t="s">
        <v>1803</v>
      </c>
    </row>
    <row r="198" spans="1:7">
      <c r="A198" t="s">
        <v>1806</v>
      </c>
      <c r="B198" t="s">
        <v>1807</v>
      </c>
      <c r="C198" t="s">
        <v>1224</v>
      </c>
      <c r="D198" t="s">
        <v>1301</v>
      </c>
      <c r="E198" t="s">
        <v>1224</v>
      </c>
      <c r="G198" t="s">
        <v>1803</v>
      </c>
    </row>
    <row r="199" spans="1:7">
      <c r="A199" t="s">
        <v>1808</v>
      </c>
      <c r="B199" t="s">
        <v>1809</v>
      </c>
      <c r="G199" t="s">
        <v>1808</v>
      </c>
    </row>
    <row r="200" spans="1:7">
      <c r="A200" t="s">
        <v>30</v>
      </c>
      <c r="B200" t="s">
        <v>767</v>
      </c>
      <c r="C200" t="s">
        <v>1240</v>
      </c>
      <c r="D200" t="s">
        <v>1810</v>
      </c>
      <c r="E200" t="s">
        <v>1240</v>
      </c>
      <c r="G200" t="s">
        <v>1811</v>
      </c>
    </row>
    <row r="201" spans="1:7">
      <c r="A201" t="s">
        <v>1812</v>
      </c>
      <c r="B201" t="s">
        <v>1813</v>
      </c>
      <c r="C201" t="s">
        <v>1240</v>
      </c>
      <c r="D201" t="s">
        <v>1223</v>
      </c>
      <c r="E201" t="s">
        <v>1240</v>
      </c>
      <c r="G201" t="s">
        <v>1811</v>
      </c>
    </row>
    <row r="202" spans="1:7">
      <c r="A202" t="s">
        <v>1814</v>
      </c>
      <c r="B202" t="s">
        <v>1815</v>
      </c>
      <c r="D202" t="s">
        <v>1816</v>
      </c>
      <c r="G202" t="s">
        <v>1817</v>
      </c>
    </row>
    <row r="203" spans="1:7">
      <c r="A203" t="s">
        <v>1818</v>
      </c>
      <c r="B203" t="s">
        <v>1819</v>
      </c>
      <c r="C203" t="s">
        <v>1240</v>
      </c>
      <c r="D203" t="s">
        <v>1223</v>
      </c>
      <c r="E203" t="s">
        <v>1240</v>
      </c>
      <c r="G203" t="s">
        <v>1820</v>
      </c>
    </row>
    <row r="204" spans="1:7">
      <c r="A204" t="s">
        <v>1821</v>
      </c>
      <c r="B204" t="s">
        <v>1334</v>
      </c>
      <c r="C204" t="s">
        <v>1635</v>
      </c>
      <c r="D204" t="s">
        <v>1822</v>
      </c>
      <c r="E204" t="s">
        <v>1635</v>
      </c>
      <c r="G204" t="s">
        <v>1336</v>
      </c>
    </row>
    <row r="205" spans="1:7">
      <c r="A205" t="s">
        <v>1823</v>
      </c>
      <c r="B205" t="s">
        <v>1824</v>
      </c>
      <c r="D205" t="s">
        <v>1825</v>
      </c>
      <c r="G205" t="s">
        <v>1826</v>
      </c>
    </row>
    <row r="206" spans="1:7">
      <c r="A206" t="s">
        <v>1827</v>
      </c>
      <c r="B206" t="s">
        <v>1828</v>
      </c>
      <c r="C206" t="s">
        <v>1244</v>
      </c>
      <c r="D206" t="s">
        <v>1829</v>
      </c>
      <c r="E206" t="s">
        <v>1244</v>
      </c>
      <c r="G206" t="s">
        <v>1826</v>
      </c>
    </row>
    <row r="207" spans="1:7">
      <c r="A207" t="s">
        <v>1830</v>
      </c>
      <c r="B207" t="s">
        <v>1831</v>
      </c>
      <c r="C207" t="s">
        <v>1832</v>
      </c>
      <c r="D207" t="s">
        <v>1223</v>
      </c>
      <c r="E207" t="s">
        <v>1224</v>
      </c>
      <c r="G207" t="s">
        <v>1833</v>
      </c>
    </row>
    <row r="208" spans="1:7">
      <c r="A208" t="s">
        <v>1834</v>
      </c>
      <c r="B208" t="s">
        <v>1835</v>
      </c>
      <c r="C208" t="s">
        <v>1222</v>
      </c>
      <c r="D208" t="s">
        <v>1223</v>
      </c>
      <c r="E208" t="s">
        <v>1224</v>
      </c>
      <c r="G208" t="s">
        <v>1836</v>
      </c>
    </row>
    <row r="209" spans="1:7">
      <c r="A209" t="s">
        <v>1837</v>
      </c>
      <c r="B209" t="s">
        <v>1838</v>
      </c>
      <c r="C209" t="s">
        <v>1240</v>
      </c>
      <c r="D209" t="s">
        <v>1223</v>
      </c>
      <c r="E209" t="s">
        <v>1240</v>
      </c>
      <c r="G209" t="s">
        <v>1839</v>
      </c>
    </row>
    <row r="210" spans="1:7">
      <c r="A210" t="s">
        <v>1840</v>
      </c>
      <c r="B210" t="s">
        <v>1841</v>
      </c>
      <c r="C210" t="s">
        <v>1549</v>
      </c>
      <c r="D210" t="s">
        <v>1223</v>
      </c>
      <c r="G210" t="s">
        <v>1842</v>
      </c>
    </row>
    <row r="211" spans="1:7">
      <c r="A211" t="s">
        <v>1843</v>
      </c>
      <c r="B211" t="s">
        <v>1844</v>
      </c>
      <c r="C211" t="s">
        <v>1229</v>
      </c>
      <c r="D211" t="s">
        <v>1223</v>
      </c>
      <c r="E211" t="s">
        <v>1224</v>
      </c>
      <c r="G211" t="s">
        <v>1845</v>
      </c>
    </row>
    <row r="212" spans="1:7">
      <c r="A212" t="s">
        <v>1846</v>
      </c>
      <c r="B212" t="s">
        <v>1847</v>
      </c>
      <c r="C212" t="s">
        <v>1240</v>
      </c>
      <c r="D212" t="s">
        <v>1848</v>
      </c>
      <c r="E212" t="s">
        <v>1240</v>
      </c>
      <c r="G212" t="s">
        <v>1849</v>
      </c>
    </row>
    <row r="213" spans="1:7">
      <c r="A213" t="s">
        <v>1850</v>
      </c>
      <c r="B213" t="s">
        <v>1851</v>
      </c>
      <c r="C213" t="s">
        <v>1224</v>
      </c>
      <c r="D213" t="s">
        <v>1852</v>
      </c>
      <c r="E213" t="s">
        <v>1224</v>
      </c>
      <c r="G213" t="s">
        <v>1853</v>
      </c>
    </row>
    <row r="214" spans="1:7">
      <c r="A214" t="s">
        <v>1854</v>
      </c>
      <c r="B214" t="s">
        <v>1855</v>
      </c>
      <c r="C214" t="s">
        <v>1635</v>
      </c>
      <c r="D214" t="s">
        <v>1223</v>
      </c>
      <c r="E214" t="s">
        <v>1635</v>
      </c>
      <c r="G214" t="s">
        <v>1856</v>
      </c>
    </row>
    <row r="215" spans="1:7">
      <c r="A215" t="s">
        <v>1857</v>
      </c>
      <c r="B215" t="s">
        <v>1858</v>
      </c>
      <c r="C215" t="s">
        <v>1222</v>
      </c>
      <c r="D215" t="s">
        <v>1223</v>
      </c>
      <c r="E215" t="s">
        <v>1224</v>
      </c>
      <c r="G215" t="s">
        <v>1859</v>
      </c>
    </row>
    <row r="216" spans="1:7">
      <c r="A216" t="s">
        <v>1860</v>
      </c>
      <c r="B216" t="s">
        <v>1861</v>
      </c>
      <c r="C216" t="s">
        <v>1343</v>
      </c>
      <c r="D216" t="s">
        <v>1223</v>
      </c>
      <c r="E216" t="s">
        <v>1224</v>
      </c>
      <c r="G216" t="s">
        <v>1862</v>
      </c>
    </row>
    <row r="217" spans="1:7">
      <c r="A217" t="s">
        <v>1863</v>
      </c>
      <c r="B217" t="s">
        <v>1864</v>
      </c>
      <c r="C217" t="s">
        <v>1244</v>
      </c>
      <c r="D217" t="s">
        <v>1782</v>
      </c>
      <c r="E217" t="s">
        <v>1244</v>
      </c>
      <c r="G217" t="s">
        <v>1865</v>
      </c>
    </row>
    <row r="218" spans="1:7">
      <c r="A218" t="s">
        <v>1866</v>
      </c>
      <c r="B218" t="s">
        <v>1867</v>
      </c>
      <c r="C218" t="s">
        <v>1229</v>
      </c>
      <c r="D218" t="s">
        <v>1223</v>
      </c>
      <c r="E218" t="s">
        <v>1224</v>
      </c>
      <c r="G218" t="s">
        <v>1868</v>
      </c>
    </row>
    <row r="219" spans="1:7">
      <c r="A219" t="s">
        <v>1869</v>
      </c>
      <c r="B219" t="s">
        <v>1870</v>
      </c>
      <c r="C219" t="s">
        <v>1282</v>
      </c>
      <c r="D219" t="s">
        <v>1223</v>
      </c>
      <c r="E219" t="s">
        <v>1224</v>
      </c>
      <c r="G219" t="s">
        <v>1871</v>
      </c>
    </row>
    <row r="220" spans="1:7">
      <c r="A220" t="s">
        <v>35</v>
      </c>
      <c r="B220" t="s">
        <v>1872</v>
      </c>
      <c r="C220" t="s">
        <v>1244</v>
      </c>
      <c r="D220" t="s">
        <v>1873</v>
      </c>
      <c r="E220" t="s">
        <v>1244</v>
      </c>
      <c r="G220" t="s">
        <v>1874</v>
      </c>
    </row>
  </sheetData>
  <phoneticPr fontId="45" type="noConversion"/>
  <hyperlinks>
    <hyperlink ref="B135" r:id="rId1" xr:uid="{5163A66D-082D-43D5-B947-FC34197131B7}"/>
  </hyperlinks>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C787C-1FD3-40A3-BD0D-5BF8499A4AF5}">
  <dimension ref="A1:B8"/>
  <sheetViews>
    <sheetView workbookViewId="0"/>
  </sheetViews>
  <sheetFormatPr defaultRowHeight="14.45"/>
  <cols>
    <col min="1" max="1" width="29.140625" bestFit="1" customWidth="1"/>
    <col min="2" max="2" width="18.42578125" bestFit="1" customWidth="1"/>
  </cols>
  <sheetData>
    <row r="1" spans="1:2">
      <c r="A1" t="s">
        <v>61</v>
      </c>
      <c r="B1" t="s">
        <v>1213</v>
      </c>
    </row>
    <row r="2" spans="1:2">
      <c r="A2" t="s">
        <v>1875</v>
      </c>
      <c r="B2" t="s">
        <v>40</v>
      </c>
    </row>
    <row r="3" spans="1:2">
      <c r="A3" t="s">
        <v>1876</v>
      </c>
      <c r="B3" t="s">
        <v>37</v>
      </c>
    </row>
    <row r="4" spans="1:2">
      <c r="A4" t="s">
        <v>1877</v>
      </c>
      <c r="B4" t="s">
        <v>35</v>
      </c>
    </row>
    <row r="5" spans="1:2">
      <c r="A5" t="s">
        <v>1878</v>
      </c>
      <c r="B5" t="s">
        <v>37</v>
      </c>
    </row>
    <row r="6" spans="1:2">
      <c r="A6" t="s">
        <v>1879</v>
      </c>
      <c r="B6" t="s">
        <v>1300</v>
      </c>
    </row>
    <row r="7" spans="1:2">
      <c r="A7" t="s">
        <v>1880</v>
      </c>
      <c r="B7" t="s">
        <v>40</v>
      </c>
    </row>
    <row r="8" spans="1:2">
      <c r="A8" t="s">
        <v>1881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E690A-75C3-47F5-BDF0-A703E8165784}">
  <dimension ref="A1:E46"/>
  <sheetViews>
    <sheetView topLeftCell="A2" workbookViewId="0"/>
  </sheetViews>
  <sheetFormatPr defaultRowHeight="14.45"/>
  <cols>
    <col min="1" max="1" width="12" bestFit="1" customWidth="1"/>
    <col min="2" max="2" width="31.140625" bestFit="1" customWidth="1"/>
    <col min="3" max="3" width="36.7109375" bestFit="1" customWidth="1"/>
    <col min="4" max="4" width="28.28515625" bestFit="1" customWidth="1"/>
    <col min="5" max="5" width="20.85546875" bestFit="1" customWidth="1"/>
  </cols>
  <sheetData>
    <row r="1" spans="1:5">
      <c r="A1" t="s">
        <v>1882</v>
      </c>
      <c r="B1" t="s">
        <v>1883</v>
      </c>
      <c r="C1" t="s">
        <v>1884</v>
      </c>
      <c r="D1" t="s">
        <v>1885</v>
      </c>
      <c r="E1" t="s">
        <v>1886</v>
      </c>
    </row>
    <row r="2" spans="1:5">
      <c r="A2" t="s">
        <v>2</v>
      </c>
      <c r="B2" t="s">
        <v>1887</v>
      </c>
      <c r="C2" t="s">
        <v>1888</v>
      </c>
      <c r="D2" t="s">
        <v>1889</v>
      </c>
      <c r="E2" t="s">
        <v>1890</v>
      </c>
    </row>
    <row r="3" spans="1:5">
      <c r="A3" t="s">
        <v>2</v>
      </c>
      <c r="B3" t="s">
        <v>1887</v>
      </c>
      <c r="D3" t="s">
        <v>1891</v>
      </c>
      <c r="E3" t="s">
        <v>1890</v>
      </c>
    </row>
    <row r="4" spans="1:5">
      <c r="A4" t="s">
        <v>2</v>
      </c>
      <c r="B4" t="s">
        <v>1887</v>
      </c>
      <c r="D4" t="s">
        <v>1892</v>
      </c>
      <c r="E4" t="s">
        <v>1890</v>
      </c>
    </row>
    <row r="5" spans="1:5">
      <c r="A5" t="s">
        <v>2</v>
      </c>
      <c r="B5" t="s">
        <v>1887</v>
      </c>
      <c r="D5" t="s">
        <v>1893</v>
      </c>
      <c r="E5" t="s">
        <v>1890</v>
      </c>
    </row>
    <row r="6" spans="1:5">
      <c r="A6" t="s">
        <v>1894</v>
      </c>
      <c r="B6" t="s">
        <v>1895</v>
      </c>
      <c r="C6" t="s">
        <v>1896</v>
      </c>
      <c r="E6" t="s">
        <v>1890</v>
      </c>
    </row>
    <row r="7" spans="1:5">
      <c r="A7" t="s">
        <v>1897</v>
      </c>
      <c r="B7" t="s">
        <v>1467</v>
      </c>
      <c r="C7" t="s">
        <v>1898</v>
      </c>
      <c r="E7" t="s">
        <v>1890</v>
      </c>
    </row>
    <row r="8" spans="1:5">
      <c r="A8" t="s">
        <v>1899</v>
      </c>
      <c r="B8" t="s">
        <v>1900</v>
      </c>
      <c r="C8" t="s">
        <v>1901</v>
      </c>
      <c r="D8" t="s">
        <v>1902</v>
      </c>
      <c r="E8" t="s">
        <v>1903</v>
      </c>
    </row>
    <row r="9" spans="1:5">
      <c r="A9" t="s">
        <v>1899</v>
      </c>
      <c r="B9" t="s">
        <v>1900</v>
      </c>
      <c r="D9" t="s">
        <v>1904</v>
      </c>
      <c r="E9" t="s">
        <v>1903</v>
      </c>
    </row>
    <row r="10" spans="1:5">
      <c r="A10" t="s">
        <v>1905</v>
      </c>
      <c r="B10" t="s">
        <v>1905</v>
      </c>
      <c r="C10" t="s">
        <v>1906</v>
      </c>
      <c r="E10" t="s">
        <v>1890</v>
      </c>
    </row>
    <row r="11" spans="1:5">
      <c r="A11" t="s">
        <v>1907</v>
      </c>
      <c r="B11" t="s">
        <v>1908</v>
      </c>
      <c r="C11" t="s">
        <v>1907</v>
      </c>
      <c r="E11" t="s">
        <v>1907</v>
      </c>
    </row>
    <row r="12" spans="1:5">
      <c r="A12" t="s">
        <v>1909</v>
      </c>
      <c r="B12" t="s">
        <v>1910</v>
      </c>
      <c r="C12" t="s">
        <v>1911</v>
      </c>
      <c r="D12" t="s">
        <v>1912</v>
      </c>
      <c r="E12" t="s">
        <v>1913</v>
      </c>
    </row>
    <row r="13" spans="1:5">
      <c r="A13" t="s">
        <v>1909</v>
      </c>
      <c r="B13" t="s">
        <v>1910</v>
      </c>
      <c r="D13" t="s">
        <v>1914</v>
      </c>
      <c r="E13" t="s">
        <v>1913</v>
      </c>
    </row>
    <row r="14" spans="1:5">
      <c r="A14" t="s">
        <v>1915</v>
      </c>
      <c r="B14" t="s">
        <v>1916</v>
      </c>
      <c r="C14" t="s">
        <v>1917</v>
      </c>
      <c r="E14" t="s">
        <v>1890</v>
      </c>
    </row>
    <row r="15" spans="1:5">
      <c r="A15" t="s">
        <v>1918</v>
      </c>
      <c r="B15" t="s">
        <v>1919</v>
      </c>
      <c r="C15" t="s">
        <v>1920</v>
      </c>
      <c r="E15" t="s">
        <v>1890</v>
      </c>
    </row>
    <row r="16" spans="1:5">
      <c r="A16" t="s">
        <v>1921</v>
      </c>
      <c r="B16" t="s">
        <v>1922</v>
      </c>
      <c r="C16" t="s">
        <v>1923</v>
      </c>
      <c r="E16" t="s">
        <v>1890</v>
      </c>
    </row>
    <row r="17" spans="1:5">
      <c r="A17" t="s">
        <v>1924</v>
      </c>
      <c r="B17" t="s">
        <v>1925</v>
      </c>
      <c r="C17" t="s">
        <v>1926</v>
      </c>
      <c r="E17" t="s">
        <v>1890</v>
      </c>
    </row>
    <row r="18" spans="1:5">
      <c r="A18" t="s">
        <v>1927</v>
      </c>
      <c r="B18" t="s">
        <v>1928</v>
      </c>
      <c r="C18" t="s">
        <v>1929</v>
      </c>
      <c r="E18" t="s">
        <v>1890</v>
      </c>
    </row>
    <row r="19" spans="1:5">
      <c r="A19" t="s">
        <v>1930</v>
      </c>
      <c r="B19" t="s">
        <v>1931</v>
      </c>
      <c r="C19" t="s">
        <v>1932</v>
      </c>
      <c r="E19" t="s">
        <v>1890</v>
      </c>
    </row>
    <row r="20" spans="1:5">
      <c r="A20" t="s">
        <v>1933</v>
      </c>
      <c r="B20" t="s">
        <v>1934</v>
      </c>
      <c r="C20" t="s">
        <v>1935</v>
      </c>
      <c r="E20" t="s">
        <v>1890</v>
      </c>
    </row>
    <row r="21" spans="1:5">
      <c r="A21" t="s">
        <v>1913</v>
      </c>
      <c r="B21" t="s">
        <v>1936</v>
      </c>
      <c r="C21" t="s">
        <v>1937</v>
      </c>
      <c r="E21" t="s">
        <v>1913</v>
      </c>
    </row>
    <row r="22" spans="1:5">
      <c r="A22" t="s">
        <v>1938</v>
      </c>
      <c r="B22" t="s">
        <v>1939</v>
      </c>
      <c r="C22" t="s">
        <v>1940</v>
      </c>
      <c r="D22" t="s">
        <v>1941</v>
      </c>
      <c r="E22" t="s">
        <v>1913</v>
      </c>
    </row>
    <row r="23" spans="1:5">
      <c r="A23" t="s">
        <v>1938</v>
      </c>
      <c r="B23" t="s">
        <v>1939</v>
      </c>
      <c r="D23" t="s">
        <v>1942</v>
      </c>
      <c r="E23" t="s">
        <v>1913</v>
      </c>
    </row>
    <row r="24" spans="1:5">
      <c r="A24" t="s">
        <v>1938</v>
      </c>
      <c r="B24" t="s">
        <v>1939</v>
      </c>
      <c r="D24" t="s">
        <v>1943</v>
      </c>
      <c r="E24" t="s">
        <v>1913</v>
      </c>
    </row>
    <row r="25" spans="1:5">
      <c r="A25" t="s">
        <v>1944</v>
      </c>
      <c r="B25" t="s">
        <v>1945</v>
      </c>
      <c r="C25" t="s">
        <v>1946</v>
      </c>
      <c r="E25" t="s">
        <v>1878</v>
      </c>
    </row>
    <row r="26" spans="1:5">
      <c r="A26" t="s">
        <v>1947</v>
      </c>
      <c r="B26" t="s">
        <v>1948</v>
      </c>
      <c r="C26" t="s">
        <v>1949</v>
      </c>
      <c r="D26" t="s">
        <v>1941</v>
      </c>
      <c r="E26" t="s">
        <v>1913</v>
      </c>
    </row>
    <row r="27" spans="1:5">
      <c r="A27" t="s">
        <v>1947</v>
      </c>
      <c r="B27" t="s">
        <v>1948</v>
      </c>
      <c r="D27" t="s">
        <v>1942</v>
      </c>
      <c r="E27" t="s">
        <v>1913</v>
      </c>
    </row>
    <row r="28" spans="1:5">
      <c r="A28" t="s">
        <v>1947</v>
      </c>
      <c r="B28" t="s">
        <v>1948</v>
      </c>
      <c r="D28" t="s">
        <v>1943</v>
      </c>
      <c r="E28" t="s">
        <v>1913</v>
      </c>
    </row>
    <row r="29" spans="1:5">
      <c r="A29" t="s">
        <v>1878</v>
      </c>
      <c r="B29" t="s">
        <v>1950</v>
      </c>
      <c r="C29" t="s">
        <v>1951</v>
      </c>
      <c r="E29" t="s">
        <v>1878</v>
      </c>
    </row>
    <row r="30" spans="1:5">
      <c r="A30" t="s">
        <v>1952</v>
      </c>
      <c r="B30" t="s">
        <v>1953</v>
      </c>
      <c r="D30" t="s">
        <v>1952</v>
      </c>
      <c r="E30" t="s">
        <v>1954</v>
      </c>
    </row>
    <row r="31" spans="1:5">
      <c r="A31" t="s">
        <v>1955</v>
      </c>
      <c r="E31" t="s">
        <v>1954</v>
      </c>
    </row>
    <row r="32" spans="1:5">
      <c r="A32" t="s">
        <v>1956</v>
      </c>
      <c r="E32" t="s">
        <v>1954</v>
      </c>
    </row>
    <row r="33" spans="1:5">
      <c r="A33" t="s">
        <v>1957</v>
      </c>
      <c r="B33" t="s">
        <v>1958</v>
      </c>
      <c r="C33" t="s">
        <v>1959</v>
      </c>
      <c r="D33" t="s">
        <v>1960</v>
      </c>
      <c r="E33" t="s">
        <v>1890</v>
      </c>
    </row>
    <row r="34" spans="1:5">
      <c r="A34" t="s">
        <v>1957</v>
      </c>
      <c r="B34" t="s">
        <v>1958</v>
      </c>
      <c r="D34" t="s">
        <v>1961</v>
      </c>
      <c r="E34" t="s">
        <v>1890</v>
      </c>
    </row>
    <row r="35" spans="1:5">
      <c r="A35" t="s">
        <v>1962</v>
      </c>
      <c r="B35" t="s">
        <v>1963</v>
      </c>
      <c r="D35" t="s">
        <v>1960</v>
      </c>
      <c r="E35" t="s">
        <v>1890</v>
      </c>
    </row>
    <row r="36" spans="1:5">
      <c r="A36" t="s">
        <v>1962</v>
      </c>
      <c r="B36" t="s">
        <v>1963</v>
      </c>
      <c r="C36" t="s">
        <v>1964</v>
      </c>
      <c r="D36" t="s">
        <v>1961</v>
      </c>
      <c r="E36" t="s">
        <v>1890</v>
      </c>
    </row>
    <row r="37" spans="1:5">
      <c r="A37" t="s">
        <v>1965</v>
      </c>
      <c r="B37" t="s">
        <v>1966</v>
      </c>
      <c r="C37" t="s">
        <v>1967</v>
      </c>
      <c r="E37" t="s">
        <v>1878</v>
      </c>
    </row>
    <row r="38" spans="1:5">
      <c r="A38" t="s">
        <v>1968</v>
      </c>
      <c r="B38" t="s">
        <v>1969</v>
      </c>
      <c r="C38" t="s">
        <v>1970</v>
      </c>
      <c r="D38" t="s">
        <v>1969</v>
      </c>
      <c r="E38" t="s">
        <v>1968</v>
      </c>
    </row>
    <row r="39" spans="1:5">
      <c r="A39" t="s">
        <v>1903</v>
      </c>
      <c r="B39" t="s">
        <v>1971</v>
      </c>
      <c r="C39" t="s">
        <v>1972</v>
      </c>
      <c r="D39" t="s">
        <v>1973</v>
      </c>
      <c r="E39" t="s">
        <v>1903</v>
      </c>
    </row>
    <row r="40" spans="1:5">
      <c r="A40" t="s">
        <v>1903</v>
      </c>
      <c r="B40" t="s">
        <v>1971</v>
      </c>
      <c r="D40" t="s">
        <v>1902</v>
      </c>
      <c r="E40" t="s">
        <v>1903</v>
      </c>
    </row>
    <row r="41" spans="1:5">
      <c r="A41" t="s">
        <v>1903</v>
      </c>
      <c r="B41" t="s">
        <v>1971</v>
      </c>
      <c r="D41" t="s">
        <v>1904</v>
      </c>
      <c r="E41" t="s">
        <v>1903</v>
      </c>
    </row>
    <row r="42" spans="1:5">
      <c r="A42" t="s">
        <v>1974</v>
      </c>
      <c r="B42" t="s">
        <v>1975</v>
      </c>
      <c r="C42" t="s">
        <v>1976</v>
      </c>
      <c r="D42" t="s">
        <v>1912</v>
      </c>
      <c r="E42" t="s">
        <v>1974</v>
      </c>
    </row>
    <row r="43" spans="1:5">
      <c r="A43" t="s">
        <v>1974</v>
      </c>
      <c r="B43" t="s">
        <v>1975</v>
      </c>
      <c r="D43" t="s">
        <v>1914</v>
      </c>
      <c r="E43" t="s">
        <v>1974</v>
      </c>
    </row>
    <row r="44" spans="1:5">
      <c r="A44" t="s">
        <v>1977</v>
      </c>
      <c r="B44" t="s">
        <v>1978</v>
      </c>
      <c r="C44" t="s">
        <v>1979</v>
      </c>
      <c r="E44" t="s">
        <v>1977</v>
      </c>
    </row>
    <row r="45" spans="1:5">
      <c r="A45" t="s">
        <v>1980</v>
      </c>
      <c r="B45" t="s">
        <v>1981</v>
      </c>
      <c r="C45" t="s">
        <v>1982</v>
      </c>
      <c r="E45" t="s">
        <v>1878</v>
      </c>
    </row>
    <row r="46" spans="1:5">
      <c r="A46" t="s">
        <v>1980</v>
      </c>
      <c r="B46" t="s">
        <v>1981</v>
      </c>
      <c r="D46" t="s">
        <v>1912</v>
      </c>
      <c r="E46" t="s">
        <v>1878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5874F39347EA042840347AAA64ED718" ma:contentTypeVersion="21" ma:contentTypeDescription="Create a new document." ma:contentTypeScope="" ma:versionID="5bdd3c6d1dec9ffab90b7ffb2c63939a">
  <xsd:schema xmlns:xsd="http://www.w3.org/2001/XMLSchema" xmlns:xs="http://www.w3.org/2001/XMLSchema" xmlns:p="http://schemas.microsoft.com/office/2006/metadata/properties" xmlns:ns2="139eb920-889e-4c38-8495-f7567b108313" xmlns:ns3="420ff89b-80d4-4362-b80f-36315318e285" targetNamespace="http://schemas.microsoft.com/office/2006/metadata/properties" ma:root="true" ma:fieldsID="77abc2d64bb8b1b3f9b6b847085b77a7" ns2:_="" ns3:_="">
    <xsd:import namespace="139eb920-889e-4c38-8495-f7567b108313"/>
    <xsd:import namespace="420ff89b-80d4-4362-b80f-36315318e28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LengthInSeconds" minOccurs="0"/>
                <xsd:element ref="ns2:MediaServiceOCR" minOccurs="0"/>
                <xsd:element ref="ns2:MediaServiceGenerationTime" minOccurs="0"/>
                <xsd:element ref="ns2:MediaServiceEventHashCode" minOccurs="0"/>
                <xsd:element ref="ns2:MediaServiceSearchProperties" minOccurs="0"/>
                <xsd:element ref="ns2:TEST" minOccurs="0"/>
                <xsd:element ref="ns2:MediaServiceLocation" minOccurs="0"/>
                <xsd:element ref="ns2:Date" minOccurs="0"/>
                <xsd:element ref="ns2:_ApprovalAssignedTo" minOccurs="0"/>
                <xsd:element ref="ns2:_ApprovalRespondedBy" minOccurs="0"/>
                <xsd:element ref="ns2:_ApprovalSentBy" minOccurs="0"/>
                <xsd:element ref="ns2:_Approval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9eb920-889e-4c38-8495-f7567b1083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TEST" ma:index="22" nillable="true" ma:displayName="Step 0 Meeeting" ma:format="DateOnly" ma:internalName="TEST">
      <xsd:simpleType>
        <xsd:restriction base="dms:DateTime"/>
      </xsd:simpleType>
    </xsd:element>
    <xsd:element name="MediaServiceLocation" ma:index="23" nillable="true" ma:displayName="Location" ma:indexed="true" ma:internalName="MediaServiceLocation" ma:readOnly="true">
      <xsd:simpleType>
        <xsd:restriction base="dms:Text"/>
      </xsd:simpleType>
    </xsd:element>
    <xsd:element name="Date" ma:index="24" nillable="true" ma:displayName="Date" ma:format="DateOnly" ma:internalName="Date">
      <xsd:simpleType>
        <xsd:restriction base="dms:DateTime"/>
      </xsd:simpleType>
    </xsd:element>
    <xsd:element name="_ApprovalAssignedTo" ma:index="25" nillable="true" ma:displayName="Approvers" ma:list="UserInfo" ma:internalName="_ApprovalAssignedTo"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RespondedBy" ma:index="26" nillable="true" ma:displayName="Responses" ma:list="UserInfo" ma:internalName="_ApprovalRespondedBy"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entBy" ma:index="27" nillable="true" ma:displayName="Approval Creator" ma:list="UserInfo" ma:internalName="_ApprovalSent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ApprovalStatus" ma:index="28" nillable="true" ma:displayName="Approval status" ma:internalName="_Approval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20ff89b-80d4-4362-b80f-36315318e285"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20d49cd0-2db0-4764-bf3a-c80da51b41f3}" ma:internalName="TaxCatchAll" ma:showField="CatchAllData" ma:web="420ff89b-80d4-4362-b80f-36315318e2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20ff89b-80d4-4362-b80f-36315318e285" xsi:nil="true"/>
    <lcf76f155ced4ddcb4097134ff3c332f xmlns="139eb920-889e-4c38-8495-f7567b108313">
      <Terms xmlns="http://schemas.microsoft.com/office/infopath/2007/PartnerControls"/>
    </lcf76f155ced4ddcb4097134ff3c332f>
    <TEST xmlns="139eb920-889e-4c38-8495-f7567b108313" xsi:nil="true"/>
    <Date xmlns="139eb920-889e-4c38-8495-f7567b108313" xsi:nil="true"/>
    <_ApprovalAssignedTo xmlns="139eb920-889e-4c38-8495-f7567b108313">
      <UserInfo>
        <DisplayName/>
        <AccountId xsi:nil="true"/>
        <AccountType/>
      </UserInfo>
    </_ApprovalAssignedTo>
    <_ApprovalSentBy xmlns="139eb920-889e-4c38-8495-f7567b108313">
      <UserInfo>
        <DisplayName/>
        <AccountId xsi:nil="true"/>
        <AccountType/>
      </UserInfo>
    </_ApprovalSentBy>
    <_ApprovalStatus xmlns="139eb920-889e-4c38-8495-f7567b108313">0</_ApprovalStatus>
    <_ApprovalRespondedBy xmlns="139eb920-889e-4c38-8495-f7567b108313">
      <UserInfo>
        <DisplayName/>
        <AccountId xsi:nil="true"/>
        <AccountType/>
      </UserInfo>
    </_ApprovalRespondedBy>
  </documentManagement>
</p:properties>
</file>

<file path=customXml/item4.xml>��
</file>

<file path=customXml/itemProps1.xml><?xml version="1.0" encoding="utf-8"?>
<ds:datastoreItem xmlns:ds="http://schemas.openxmlformats.org/officeDocument/2006/customXml" ds:itemID="{CCC78C9B-F90D-4132-A8A6-B42993AE6183}"/>
</file>

<file path=customXml/itemProps2.xml><?xml version="1.0" encoding="utf-8"?>
<ds:datastoreItem xmlns:ds="http://schemas.openxmlformats.org/officeDocument/2006/customXml" ds:itemID="{70AE8D45-9F34-4D59-A3DF-BF0A38BBD877}"/>
</file>

<file path=customXml/itemProps3.xml><?xml version="1.0" encoding="utf-8"?>
<ds:datastoreItem xmlns:ds="http://schemas.openxmlformats.org/officeDocument/2006/customXml" ds:itemID="{5981C315-8ED5-436B-A6C4-CA9E1132F2F5}"/>
</file>

<file path=customXml/itemProps4.xml><?xml version="1.0" encoding="utf-8"?>
<ds:datastoreItem xmlns:ds="http://schemas.openxmlformats.org/officeDocument/2006/customXml" ds:itemID="{879709F6-4C2F-4A34-92E4-ABCC08C60D61}"/>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Donatella Rocca</dc:creator>
  <cp:keywords/>
  <dc:description/>
  <cp:lastModifiedBy>Jean Mathieu Ferre</cp:lastModifiedBy>
  <cp:revision/>
  <dcterms:created xsi:type="dcterms:W3CDTF">2023-09-16T15:41:38Z</dcterms:created>
  <dcterms:modified xsi:type="dcterms:W3CDTF">2026-03-10T16:16:13Z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0x010100D5874F39347EA042840347AAA64ED718</vt:lpwstr>
  </property>
  <property fmtid="{D5CDD505-2E9C-101B-9397-08002B2CF9AE}" pid="3" name="MediaServiceImageTags">
    <vt:lpwstr/>
  </property>
</Properties>
</file>